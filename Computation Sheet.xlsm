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ink/ink3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:\Business\Ahman Industries\Calc Automation with Macro Copy Computation Sheet from here\"/>
    </mc:Choice>
  </mc:AlternateContent>
  <xr:revisionPtr revIDLastSave="0" documentId="13_ncr:1_{D3CB58BF-184B-4F49-9ADA-6CF2761E720F}" xr6:coauthVersionLast="47" xr6:coauthVersionMax="47" xr10:uidLastSave="{00000000-0000-0000-0000-000000000000}"/>
  <bookViews>
    <workbookView xWindow="-120" yWindow="-120" windowWidth="20730" windowHeight="11160" tabRatio="987" activeTab="1" xr2:uid="{00000000-000D-0000-FFFF-FFFF00000000}"/>
  </bookViews>
  <sheets>
    <sheet name="Instruction" sheetId="12" r:id="rId1"/>
    <sheet name="Sales" sheetId="9" r:id="rId2"/>
    <sheet name="Purchases" sheetId="4" r:id="rId3"/>
    <sheet name="Data Analysis GSTR 3B" sheetId="10" r:id="rId4"/>
    <sheet name="Data Analysis GSTR 1" sheetId="11" r:id="rId5"/>
    <sheet name="TCS Received" sheetId="13" r:id="rId6"/>
    <sheet name="Working" sheetId="15" r:id="rId7"/>
    <sheet name="State Code" sheetId="16" r:id="rId8"/>
  </sheets>
  <definedNames>
    <definedName name="_xlnm._FilterDatabase" localSheetId="2" hidden="1">Purchases!$A$1:$N$1</definedName>
    <definedName name="_xlnm._FilterDatabase" localSheetId="1" hidden="1">Sales!$A$1:$S$1</definedName>
  </definedNames>
  <calcPr calcId="191029"/>
  <pivotCaches>
    <pivotCache cacheId="2661" r:id="rId9"/>
    <pivotCache cacheId="2666" r:id="rId10"/>
    <pivotCache cacheId="2676" r:id="rId11"/>
    <pivotCache cacheId="2681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09" i="11" l="1"/>
</calcChain>
</file>

<file path=xl/sharedStrings.xml><?xml version="1.0" encoding="utf-8"?>
<sst xmlns="http://schemas.openxmlformats.org/spreadsheetml/2006/main" count="204" uniqueCount="140">
  <si>
    <t>Notes</t>
  </si>
  <si>
    <t>Please delete dummy data filed in sheet</t>
  </si>
  <si>
    <t>You can also add more details in sheet and analysis as per your need, sheet is completely unprotective</t>
  </si>
  <si>
    <t>Online seller also need to file TCS return apart from GSTR 1 &amp; GSTR 3B, make sure to accept the figures in TCS return the same will be reflect in "Electronic cash Ledger" after your file TCS return</t>
  </si>
  <si>
    <t>Cheers</t>
  </si>
  <si>
    <t>Marketplace</t>
  </si>
  <si>
    <t>Invoice Number</t>
  </si>
  <si>
    <t>Invoice Date</t>
  </si>
  <si>
    <t>Client Name</t>
  </si>
  <si>
    <t>GSTN</t>
  </si>
  <si>
    <t>Period</t>
  </si>
  <si>
    <t>FY</t>
  </si>
  <si>
    <t>Nature</t>
  </si>
  <si>
    <t>Transaction Type</t>
  </si>
  <si>
    <t>Destination</t>
  </si>
  <si>
    <t>HSN Code</t>
  </si>
  <si>
    <t>Qty</t>
  </si>
  <si>
    <t>Rate</t>
  </si>
  <si>
    <t>IGST</t>
  </si>
  <si>
    <t>CGST</t>
  </si>
  <si>
    <t>SGST</t>
  </si>
  <si>
    <t>Maharashtra</t>
  </si>
  <si>
    <t>Tamil Nadu</t>
  </si>
  <si>
    <t>Delhi</t>
  </si>
  <si>
    <t>Assam</t>
  </si>
  <si>
    <t>Bihar</t>
  </si>
  <si>
    <t>Jammu &amp; Kashmir</t>
  </si>
  <si>
    <t>Odisha</t>
  </si>
  <si>
    <t>West Bengal</t>
  </si>
  <si>
    <t>Madhya Pradesh</t>
  </si>
  <si>
    <t>Uttar Pradesh</t>
  </si>
  <si>
    <t>Uttarakhand</t>
  </si>
  <si>
    <t>Andhra Pradesh</t>
  </si>
  <si>
    <t>Rajasthan</t>
  </si>
  <si>
    <t>Telangana</t>
  </si>
  <si>
    <t xml:space="preserve">Party </t>
  </si>
  <si>
    <t>ITC availability</t>
  </si>
  <si>
    <t>Invoice No</t>
  </si>
  <si>
    <t>Date</t>
  </si>
  <si>
    <t>Month</t>
  </si>
  <si>
    <t>Amount</t>
  </si>
  <si>
    <t>Total</t>
  </si>
  <si>
    <t>GSTR 2A</t>
  </si>
  <si>
    <t>Remarks</t>
  </si>
  <si>
    <t>Instructions for filing table 3.1</t>
  </si>
  <si>
    <t>Instructions for filing table 3.2</t>
  </si>
  <si>
    <t>Instructions for filing table 4</t>
  </si>
  <si>
    <t>1. Always refresh the table after adding data in Final Sheet</t>
  </si>
  <si>
    <t>2. Change the period from drop down and only mention correct details in GSTR 3B</t>
  </si>
  <si>
    <r>
      <rPr>
        <sz val="11"/>
        <color theme="1"/>
        <rFont val="Calibri"/>
        <charset val="134"/>
        <scheme val="minor"/>
      </rPr>
      <t xml:space="preserve">3. Please fill only </t>
    </r>
    <r>
      <rPr>
        <b/>
        <sz val="11"/>
        <color theme="1"/>
        <rFont val="Calibri"/>
        <charset val="134"/>
        <scheme val="minor"/>
      </rPr>
      <t>Final Values</t>
    </r>
    <r>
      <rPr>
        <sz val="11"/>
        <color theme="1"/>
        <rFont val="Calibri"/>
        <charset val="134"/>
        <scheme val="minor"/>
      </rPr>
      <t xml:space="preserve"> in GSTR 3B</t>
    </r>
  </si>
  <si>
    <t>3. Selct B2C from 3rd drop down menu</t>
  </si>
  <si>
    <t>4.If there is any negative figure in any state please add the same in taxable value &amp; GST and adjust the same in upcoming month from same State</t>
  </si>
  <si>
    <t>4. Please highlight the States only have negative figures. Also highlight your own state as you need to fill only inter state supplies</t>
  </si>
  <si>
    <t>5.If there is any negative figure in any state please adjust the same in upcoming month from same State</t>
  </si>
  <si>
    <t xml:space="preserve">Table 3.1 Details of Outward Supplies </t>
  </si>
  <si>
    <t>Table 3.2 Inter State B2C Supply</t>
  </si>
  <si>
    <t>Table 4 ITC</t>
  </si>
  <si>
    <t>(Multiple Items)</t>
  </si>
  <si>
    <t>Values</t>
  </si>
  <si>
    <t>Row Labels</t>
  </si>
  <si>
    <t>Sum of Taxable Amount</t>
  </si>
  <si>
    <t>Sum of IGST</t>
  </si>
  <si>
    <t>Sum of CGST</t>
  </si>
  <si>
    <t>Sum of SGST</t>
  </si>
  <si>
    <t>(blank)</t>
  </si>
  <si>
    <t>Grand Total</t>
  </si>
  <si>
    <t>Gujarat</t>
  </si>
  <si>
    <t>Haryana</t>
  </si>
  <si>
    <t>Jharkhand</t>
  </si>
  <si>
    <t>Karnataka</t>
  </si>
  <si>
    <t>Kerala</t>
  </si>
  <si>
    <t>Chandigarh</t>
  </si>
  <si>
    <t>Manipur</t>
  </si>
  <si>
    <t>B2B Invoice Details</t>
  </si>
  <si>
    <t>B2C Small Invoice Details</t>
  </si>
  <si>
    <t>TCS Received</t>
  </si>
  <si>
    <t>POS</t>
  </si>
  <si>
    <t>01-Jammu &amp; Kashmir</t>
  </si>
  <si>
    <t>Himachal Pradesh</t>
  </si>
  <si>
    <t>02-Himachal Pradesh</t>
  </si>
  <si>
    <t>Punjab</t>
  </si>
  <si>
    <t>03-Punjab</t>
  </si>
  <si>
    <t>04-Chandigarh</t>
  </si>
  <si>
    <t>05-Uttarakhand</t>
  </si>
  <si>
    <t>06-Haryana</t>
  </si>
  <si>
    <t>07-Delhi</t>
  </si>
  <si>
    <t>08-Rajasthan</t>
  </si>
  <si>
    <t>09-Uttar Pradesh</t>
  </si>
  <si>
    <t>10-Bihar</t>
  </si>
  <si>
    <t>Sikkim</t>
  </si>
  <si>
    <t>11-Sikkim</t>
  </si>
  <si>
    <t>Arunachal Pradesh</t>
  </si>
  <si>
    <t>12-Arunachal Pradesh</t>
  </si>
  <si>
    <t>Nagaland</t>
  </si>
  <si>
    <t>13-Nagaland</t>
  </si>
  <si>
    <t>14-Manipur</t>
  </si>
  <si>
    <t>Mizoram</t>
  </si>
  <si>
    <t>15-Mizoram</t>
  </si>
  <si>
    <t>Tripura</t>
  </si>
  <si>
    <t>16-Tripura</t>
  </si>
  <si>
    <t>Meghalaya</t>
  </si>
  <si>
    <t>17-Meghalaya</t>
  </si>
  <si>
    <t>18-Assam</t>
  </si>
  <si>
    <t>19-West Bengal</t>
  </si>
  <si>
    <t>20-Jharkhand</t>
  </si>
  <si>
    <t>21-Odisha</t>
  </si>
  <si>
    <t>Chhattisgarh</t>
  </si>
  <si>
    <t>22-Chhattisgarh</t>
  </si>
  <si>
    <t>23-Madhya Pradesh</t>
  </si>
  <si>
    <t>24-Gujarat</t>
  </si>
  <si>
    <t>Daman &amp; Diu</t>
  </si>
  <si>
    <t>25-Daman &amp; Diu</t>
  </si>
  <si>
    <t>Dadra &amp; Nagar Haveli &amp; Daman &amp; Diu</t>
  </si>
  <si>
    <t>26-Dadra &amp; Nagar Haveli &amp; Daman &amp; Diu</t>
  </si>
  <si>
    <t>27-Maharashtra</t>
  </si>
  <si>
    <t>29-Karnataka</t>
  </si>
  <si>
    <t>Goa</t>
  </si>
  <si>
    <t>30-Goa</t>
  </si>
  <si>
    <t>Lakshdweep</t>
  </si>
  <si>
    <t>31-Lakshdweep</t>
  </si>
  <si>
    <t>32-Kerala</t>
  </si>
  <si>
    <t>33-Tamil Nadu</t>
  </si>
  <si>
    <t>Puducherry</t>
  </si>
  <si>
    <t>34-Puducherry</t>
  </si>
  <si>
    <t>Andaman &amp; Nicobar Islands</t>
  </si>
  <si>
    <t>35-Andaman &amp; Nicobar Islands</t>
  </si>
  <si>
    <t>36-Telangana</t>
  </si>
  <si>
    <t>37-Andhra Pradesh</t>
  </si>
  <si>
    <t>Ladakh</t>
  </si>
  <si>
    <t>38-Ladakh</t>
  </si>
  <si>
    <t>Other Territory</t>
  </si>
  <si>
    <t>97-Other Territory</t>
  </si>
  <si>
    <t>(All)</t>
  </si>
  <si>
    <t xml:space="preserve"> Taxable Amount </t>
  </si>
  <si>
    <t xml:space="preserve"> CGST </t>
  </si>
  <si>
    <t xml:space="preserve"> SGST </t>
  </si>
  <si>
    <t xml:space="preserve"> Invoice Amount </t>
  </si>
  <si>
    <t xml:space="preserve"> TCS </t>
  </si>
  <si>
    <t>This Sheet is Macro Enabled to Import Flipkart from the sheets flipkart provides.</t>
  </si>
  <si>
    <t>Flipkart imported date will be weired please correct it with CTRL + M. This is another macro.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</si>
</sst>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m/d/yyyy;@"/>
  </numFmts>
  <fonts count="10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i/>
      <u/>
      <sz val="11"/>
      <color theme="1"/>
      <name val="Calibri"/>
      <charset val="134"/>
      <scheme val="minor"/>
    </font>
    <font>
      <b/>
      <sz val="11"/>
      <color rgb="FF000000"/>
      <name val="Calibri"/>
      <charset val="134"/>
    </font>
    <font>
      <b/>
      <sz val="14"/>
      <color theme="1"/>
      <name val="Abadi"/>
      <charset val="134"/>
    </font>
    <font>
      <sz val="16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DE9D9"/>
        <bgColor rgb="FFFDE9D9"/>
      </patternFill>
    </fill>
    <fill>
      <patternFill patternType="solid">
        <fgColor theme="6" tint="0.79995117038483843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theme="4" tint="-0.249977111117893"/>
      </top>
      <bottom/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58">
    <xf numFmtId="0" fontId="0" fillId="0" borderId="0" xfId="0"/>
    <xf numFmtId="0" fontId="0" fillId="2" borderId="0" xfId="0" applyFill="1"/>
    <xf numFmtId="0" fontId="1" fillId="0" borderId="0" xfId="0" applyFont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0" fillId="2" borderId="0" xfId="0" applyFill="1" applyAlignment="1">
      <alignment horizontal="left" vertical="center"/>
    </xf>
    <xf numFmtId="1" fontId="0" fillId="0" borderId="0" xfId="0" applyNumberFormat="1"/>
    <xf numFmtId="0" fontId="0" fillId="0" borderId="0" xfId="0" applyAlignment="1">
      <alignment horizontal="left"/>
    </xf>
    <xf numFmtId="44" fontId="0" fillId="0" borderId="0" xfId="0" applyNumberFormat="1"/>
    <xf numFmtId="0" fontId="3" fillId="4" borderId="4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1" fillId="0" borderId="0" xfId="0" applyFont="1" applyAlignment="1">
      <alignment horizontal="left"/>
    </xf>
    <xf numFmtId="0" fontId="1" fillId="0" borderId="0" xfId="0" applyFont="1"/>
    <xf numFmtId="44" fontId="1" fillId="0" borderId="13" xfId="0" applyNumberFormat="1" applyFont="1" applyBorder="1"/>
    <xf numFmtId="44" fontId="1" fillId="0" borderId="0" xfId="0" applyNumberFormat="1" applyFont="1"/>
    <xf numFmtId="0" fontId="0" fillId="4" borderId="9" xfId="0" applyFill="1" applyBorder="1" applyAlignment="1">
      <alignment wrapText="1"/>
    </xf>
    <xf numFmtId="0" fontId="0" fillId="4" borderId="10" xfId="0" applyFill="1" applyBorder="1" applyAlignment="1">
      <alignment wrapText="1"/>
    </xf>
    <xf numFmtId="0" fontId="0" fillId="4" borderId="11" xfId="0" applyFill="1" applyBorder="1" applyAlignment="1">
      <alignment wrapText="1"/>
    </xf>
    <xf numFmtId="0" fontId="4" fillId="5" borderId="12" xfId="0" applyFont="1" applyFill="1" applyBorder="1"/>
    <xf numFmtId="0" fontId="0" fillId="0" borderId="12" xfId="0" applyBorder="1"/>
    <xf numFmtId="164" fontId="0" fillId="0" borderId="12" xfId="0" applyNumberFormat="1" applyBorder="1"/>
    <xf numFmtId="43" fontId="0" fillId="0" borderId="12" xfId="1" applyFont="1" applyBorder="1"/>
    <xf numFmtId="2" fontId="0" fillId="0" borderId="12" xfId="1" applyNumberFormat="1" applyFont="1" applyBorder="1" applyAlignment="1">
      <alignment horizontal="right"/>
    </xf>
    <xf numFmtId="0" fontId="0" fillId="0" borderId="7" xfId="0" applyBorder="1"/>
    <xf numFmtId="0" fontId="6" fillId="0" borderId="8" xfId="0" applyFont="1" applyBorder="1"/>
    <xf numFmtId="0" fontId="0" fillId="0" borderId="9" xfId="0" applyBorder="1"/>
    <xf numFmtId="0" fontId="0" fillId="0" borderId="4" xfId="0" applyBorder="1"/>
    <xf numFmtId="0" fontId="6" fillId="0" borderId="6" xfId="0" applyFont="1" applyBorder="1"/>
    <xf numFmtId="0" fontId="0" fillId="0" borderId="0" xfId="0" pivotButton="1"/>
    <xf numFmtId="0" fontId="8" fillId="2" borderId="0" xfId="0" applyFont="1" applyFill="1"/>
    <xf numFmtId="0" fontId="9" fillId="0" borderId="11" xfId="0" applyFont="1" applyBorder="1" applyAlignment="1">
      <alignment wrapText="1"/>
    </xf>
    <xf numFmtId="0" fontId="9" fillId="0" borderId="8" xfId="0" applyFont="1" applyBorder="1"/>
    <xf numFmtId="0" fontId="9" fillId="0" borderId="11" xfId="0" applyFont="1" applyBorder="1"/>
    <xf numFmtId="0" fontId="5" fillId="6" borderId="4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4" borderId="7" xfId="0" applyFill="1" applyBorder="1" applyAlignment="1">
      <alignment horizontal="left" wrapText="1"/>
    </xf>
    <xf numFmtId="0" fontId="0" fillId="4" borderId="0" xfId="0" applyFill="1" applyAlignment="1">
      <alignment horizontal="left" wrapText="1"/>
    </xf>
    <xf numFmtId="0" fontId="0" fillId="4" borderId="8" xfId="0" applyFill="1" applyBorder="1" applyAlignment="1">
      <alignment horizontal="left" wrapText="1"/>
    </xf>
    <xf numFmtId="0" fontId="0" fillId="4" borderId="7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8" xfId="0" applyFill="1" applyBorder="1" applyAlignment="1">
      <alignment horizontal="left"/>
    </xf>
    <xf numFmtId="0" fontId="0" fillId="4" borderId="7" xfId="0" applyFill="1" applyBorder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2" fillId="3" borderId="1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9"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563040</xdr:colOff>
      <xdr:row>0</xdr:row>
      <xdr:rowOff>81360</xdr:rowOff>
    </xdr:from>
    <xdr:to>
      <xdr:col>0</xdr:col>
      <xdr:colOff>570960</xdr:colOff>
      <xdr:row>0</xdr:row>
      <xdr:rowOff>87120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14:cNvPr>
            <xdr14:cNvContentPartPr/>
          </xdr14:nvContentPartPr>
          <xdr14:nvPr macro=""/>
          <xdr14:xfrm>
            <a:off x="562610" y="81280"/>
            <a:ext cx="8255" cy="571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53637" y="72350"/>
              <a:ext cx="25842" cy="232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589992</xdr:colOff>
      <xdr:row>1</xdr:row>
      <xdr:rowOff>0</xdr:rowOff>
    </xdr:from>
    <xdr:to>
      <xdr:col>17</xdr:col>
      <xdr:colOff>923</xdr:colOff>
      <xdr:row>1</xdr:row>
      <xdr:rowOff>1440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0100-000068000000}"/>
                </a:ext>
              </a:extLst>
            </xdr14:cNvPr>
            <xdr14:cNvContentPartPr/>
          </xdr14:nvContentPartPr>
          <xdr14:nvPr macro=""/>
          <xdr14:xfrm>
            <a:off x="12448540" y="190500"/>
            <a:ext cx="0" cy="127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00000000-0008-0000-0100-00006800000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2448540" y="182562"/>
              <a:ext cx="0" cy="16828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407896</xdr:colOff>
      <xdr:row>9</xdr:row>
      <xdr:rowOff>102309</xdr:rowOff>
    </xdr:from>
    <xdr:to>
      <xdr:col>1</xdr:col>
      <xdr:colOff>410776</xdr:colOff>
      <xdr:row>9</xdr:row>
      <xdr:rowOff>103389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14:cNvPr>
            <xdr14:cNvContentPartPr/>
          </xdr14:nvContentPartPr>
          <xdr14:nvPr macro=""/>
          <xdr14:xfrm>
            <a:off x="645795" y="1864360"/>
            <a:ext cx="2540" cy="63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37857" y="1859068"/>
              <a:ext cx="18098" cy="1100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" max="2" units="cm"/>
          <inkml:channel name="Y" type="integer" min="-2" max="2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15T07:57:0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1154 47 5513,'2'-5'2017,"0"-2"-1737,2 4 40,-2 3-256,2 7-104,4 1-560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" max="2" units="cm"/>
          <inkml:channel name="Y" type="integer" min="-2" max="2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15T08:14:2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1085 238 5769,'0'-3'1841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" max="2" units="cm"/>
          <inkml:channel name="Y" type="integer" min="-2" max="2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15T08:22: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204 122 5185,'1'0'1873,"0"-2"-1801,4 4 120</inkml:trace>
</inkml: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ojibuddin Siddiqui" refreshedDate="45201.496960648146" createdVersion="6" refreshedVersion="8" minRefreshableVersion="3" recordCount="100" xr:uid="{00000000-000A-0000-FFFF-FFFF02000000}">
  <cacheSource type="worksheet">
    <worksheetSource ref="B1:R1048576" sheet="Sales"/>
  </cacheSource>
  <cacheFields count="17">
    <cacheField name="Invoice Number" numFmtId="0">
      <sharedItems containsNonDate="0" containsString="0" containsBlank="1"/>
    </cacheField>
    <cacheField name="Invoice Date" numFmtId="164">
      <sharedItems containsNonDate="0" containsString="0" containsBlank="1"/>
    </cacheField>
    <cacheField name="Client Name" numFmtId="0">
      <sharedItems containsNonDate="0" containsString="0" containsBlank="1"/>
    </cacheField>
    <cacheField name="GSTN" numFmtId="0">
      <sharedItems containsNonDate="0" containsString="0" containsBlank="1"/>
    </cacheField>
    <cacheField name="Period" numFmtId="0">
      <sharedItems containsNonDate="0" containsDate="1" containsBlank="1" containsMixedTypes="1" minDate="2021-04-01T00:00:00" maxDate="2021-04-02T00:00:00" count="3">
        <m/>
        <s v="SEP" u="1"/>
        <d v="2021-04-01T00:00:00" u="1"/>
      </sharedItems>
    </cacheField>
    <cacheField name="FY" numFmtId="0">
      <sharedItems containsNonDate="0" containsString="0" containsBlank="1" containsNumber="1" containsInteger="1" minValue="0" maxValue="2023" count="4">
        <m/>
        <n v="2023" u="1"/>
        <n v="0" u="1"/>
        <n v="22" u="1"/>
      </sharedItems>
    </cacheField>
    <cacheField name="Nature" numFmtId="0">
      <sharedItems containsNonDate="0" containsBlank="1" count="37">
        <m/>
        <s v="B2C" u="1"/>
        <s v="FAKG712400000007" u="1"/>
        <s v="FAKG712400000016" u="1"/>
        <s v="FAKG712400000025" u="1"/>
        <s v="RAIDYF2400000001" u="1"/>
        <s v="FAKG712400000003" u="1"/>
        <s v="FAKG712400000012" u="1"/>
        <s v="FAKG712400000021" u="1"/>
        <s v="FAKG712400000008" u="1"/>
        <e v="#VALUE!" u="1"/>
        <s v="FAKG712400000017" u="1"/>
        <s v="FAKG712400000026" u="1"/>
        <s v="RAIDYF2400000002" u="1"/>
        <s v="Return" u="1"/>
        <s v="Sale" u="1"/>
        <s v="FAKG712400000004" u="1"/>
        <s v="FAKG712400000013" u="1"/>
        <s v="FAKG712400000022" u="1"/>
        <s v="FAKG712400000009" u="1"/>
        <s v="FAKG712400000018" u="1"/>
        <s v="FAKG712400000027" u="1"/>
        <s v="RAIDYF2400000003" u="1"/>
        <s v="FAKG712400000005" u="1"/>
        <s v="FAKG712400000014" u="1"/>
        <s v="FAKG712400000023" u="1"/>
        <s v="FAKG712400000019" u="1"/>
        <s v="RAIDYF2400000004" u="1"/>
        <s v="FAKG712400000001" u="1"/>
        <s v="FAKG712400000010" u="1"/>
        <s v="FAKG712400000006" u="1"/>
        <s v="FAKG712400000015" u="1"/>
        <s v="FAKG712400000024" u="1"/>
        <s v="B2B" u="1"/>
        <s v="FAKG712400000002" u="1"/>
        <s v="FAKG712400000011" u="1"/>
        <s v="FAKG712400000020" u="1"/>
      </sharedItems>
    </cacheField>
    <cacheField name="Transaction Type" numFmtId="0">
      <sharedItems containsNonDate="0" containsString="0" containsBlank="1"/>
    </cacheField>
    <cacheField name="Destination" numFmtId="0">
      <sharedItems containsNonDate="0" containsBlank="1" count="95">
        <m/>
        <s v="Haryana" u="1"/>
        <s v="Delhi" u="1"/>
        <s v="Kerala" u="1"/>
        <s v="Uttar Pradesh" u="1"/>
        <s v="Karnataka" u="1"/>
        <s v="Himachal Pradesh" u="1"/>
        <s v="Assam" u="1"/>
        <s v="Jharkhand" u="1"/>
        <s v="Bihar" u="1"/>
        <s v="Maharashtra" u="1"/>
        <s v="West Bengal" u="1"/>
        <s v="Jammu &amp; Kashmir" u="1"/>
        <s v="Rajasthan" u="1"/>
        <s v="Odisha" u="1"/>
        <s v="Tripura" u="1"/>
        <s v="Andhra Pradesh" u="1"/>
        <s v="Gujarat" u="1"/>
        <s v="Punjab" u="1"/>
        <s v="Uttarakhand" u="1"/>
        <s v="122001" u="1"/>
        <s v="110046" u="1"/>
        <s v="695551" u="1"/>
        <s v="226014" u="1"/>
        <s v="577123" u="1"/>
        <s v="171001" u="1"/>
        <s v="783370" u="1"/>
        <s v="277202" u="1"/>
        <s v="834005" u="1"/>
        <s v="570023" u="1"/>
        <s v="855107" u="1"/>
        <s v="176062" u="1"/>
        <s v="411006" u="1"/>
        <s v="800027" u="1"/>
        <s v="700136" u="1"/>
        <s v="226025" u="1"/>
        <s v="180015" u="1"/>
        <s v="713204" u="1"/>
        <s v="671121" u="1"/>
        <s v="302002" u="1"/>
        <s v="768017" u="1"/>
        <s v="845305" u="1"/>
        <s v="799155" u="1"/>
        <s v="845438" u="1"/>
        <s v="752055" u="1"/>
        <s v="122101" u="1"/>
        <s v="534316" u="1"/>
        <s v="335512" u="1"/>
        <s v="751012" u="1"/>
        <s v="842001" u="1"/>
        <s v="363641" u="1"/>
        <s v="400037" u="1"/>
        <s v="142032" u="1"/>
        <s v="284002" u="1"/>
        <s v="110040" u="1"/>
        <s v="800013" u="1"/>
        <s v="248001" u="1"/>
        <s v="144401" u="1"/>
        <s v="722149" u="1"/>
        <s v="110026" u="1"/>
        <s v="680586" u="1"/>
        <s v="124105" u="1"/>
        <s v="560091" u="1"/>
        <s v="110030" u="1"/>
        <s v="713359" u="1"/>
        <s v="226026" u="1"/>
        <s v="221003" u="1"/>
        <s v="Chandigarh" u="1"/>
        <s v="Madhya Pradesh" u="1"/>
        <s v="Tamil Nadu" u="1"/>
        <s v="Nagaland" u="1"/>
        <s v="Goa" u="1"/>
        <s v="ARUNACHAL PRADESH" u="1"/>
        <s v="ANDAMAN AND NICOBAR ISLANDS" u="1"/>
        <s v="HP" u="1"/>
        <s v="PONDICHERRY" u="1"/>
        <s v="Chattisgarh" u="1"/>
        <s v="Postpaid" u="1"/>
        <s v="CHHATTISGARH" u="1"/>
        <s v="Puducherry" u="1"/>
        <s v="JAMMU AND KASHMIR" u="1"/>
        <s v="ha" u="1"/>
        <s v="Manipur" u="1"/>
        <s v="Megalaya" u="1"/>
        <s v="Telangana" u="1"/>
        <s v="THE DADRA AND NAGAR HAVELI AND DAMAN AND DIU" u="1"/>
        <s v="Prepaid" u="1"/>
        <s v="UP" u="1"/>
        <s v="MEGHALAYA" u="1"/>
        <s v="Andaman and Nico.In." u="1"/>
        <s v="MIZORAM" u="1"/>
        <s v="SIKKIM" u="1"/>
        <s v="B2C" u="1"/>
        <s v="JAMMU   KASHMIR" u="1"/>
        <s v="Orissa" u="1"/>
      </sharedItems>
    </cacheField>
    <cacheField name="HSN Code" numFmtId="0">
      <sharedItems containsNonDate="0" containsString="0" containsBlank="1"/>
    </cacheField>
    <cacheField name="Qty" numFmtId="0">
      <sharedItems containsNonDate="0" containsString="0" containsBlank="1"/>
    </cacheField>
    <cacheField name=" Taxable Amount " numFmtId="43">
      <sharedItems containsNonDate="0" containsString="0" containsBlank="1"/>
    </cacheField>
    <cacheField name="Rate" numFmtId="0">
      <sharedItems containsNonDate="0" containsString="0" containsBlank="1"/>
    </cacheField>
    <cacheField name="IGST" numFmtId="2">
      <sharedItems containsNonDate="0" containsString="0" containsBlank="1"/>
    </cacheField>
    <cacheField name=" CGST " numFmtId="43">
      <sharedItems containsNonDate="0" containsString="0" containsBlank="1"/>
    </cacheField>
    <cacheField name=" SGST " numFmtId="43">
      <sharedItems containsNonDate="0" containsString="0" containsBlank="1"/>
    </cacheField>
    <cacheField name=" Invoice Amount " numFmtId="43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ojibuddin Siddiqui" refreshedDate="45201.496961342593" createdVersion="6" refreshedVersion="8" minRefreshableVersion="3" recordCount="1" xr:uid="{00000000-000A-0000-FFFF-FFFF03000000}">
  <cacheSource type="worksheet">
    <worksheetSource ref="A1:M1048576" sheet="Purchases"/>
  </cacheSource>
  <cacheFields count="13">
    <cacheField name="Party " numFmtId="0">
      <sharedItems containsNonDate="0" containsString="0" containsBlank="1"/>
    </cacheField>
    <cacheField name="ITC availability" numFmtId="0">
      <sharedItems containsNonDate="0" containsBlank="1" count="3">
        <m/>
        <s v="Ineligible" u="1"/>
        <s v="Yes" u="1"/>
      </sharedItems>
    </cacheField>
    <cacheField name="GSTN" numFmtId="0">
      <sharedItems containsNonDate="0" containsString="0" containsBlank="1"/>
    </cacheField>
    <cacheField name="Invoice No" numFmtId="0">
      <sharedItems containsNonDate="0" containsString="0" containsBlank="1"/>
    </cacheField>
    <cacheField name="Date" numFmtId="0">
      <sharedItems containsNonDate="0" containsString="0" containsBlank="1"/>
    </cacheField>
    <cacheField name="FY" numFmtId="0">
      <sharedItems containsNonDate="0" containsBlank="1" count="3">
        <m/>
        <s v="2021-22" u="1"/>
        <s v="2020-21" u="1"/>
      </sharedItems>
    </cacheField>
    <cacheField name="Month" numFmtId="0">
      <sharedItems containsNonDate="0" containsBlank="1" count="9">
        <m/>
        <s v="Sept" u="1"/>
        <s v="SEP" u="1"/>
        <s v="April" u="1"/>
        <s v="NOV" u="1"/>
        <s v="DEC" u="1"/>
        <s v="OCT" u="1"/>
        <s v="AUG" u="1"/>
        <s v="JULY" u="1"/>
      </sharedItems>
    </cacheField>
    <cacheField name="Amount" numFmtId="0">
      <sharedItems containsNonDate="0" containsString="0" containsBlank="1"/>
    </cacheField>
    <cacheField name="IGST" numFmtId="0">
      <sharedItems containsNonDate="0" containsString="0" containsBlank="1"/>
    </cacheField>
    <cacheField name="CGST" numFmtId="0">
      <sharedItems containsNonDate="0" containsString="0" containsBlank="1"/>
    </cacheField>
    <cacheField name="SGST" numFmtId="0">
      <sharedItems containsNonDate="0" containsString="0" containsBlank="1"/>
    </cacheField>
    <cacheField name="Total" numFmtId="0">
      <sharedItems containsNonDate="0" containsString="0" containsBlank="1"/>
    </cacheField>
    <cacheField name="GSTR 2A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ojibuddin Siddiqui" refreshedDate="45201.496961689816" createdVersion="6" refreshedVersion="8" minRefreshableVersion="3" recordCount="100" xr:uid="{00000000-000A-0000-FFFF-FFFF00000000}">
  <cacheSource type="worksheet">
    <worksheetSource ref="B1:S1048576" sheet="Sales"/>
  </cacheSource>
  <cacheFields count="18">
    <cacheField name="Invoice Number" numFmtId="0">
      <sharedItems containsNonDate="0" containsString="0" containsBlank="1" containsNumber="1" minValue="1.86" maxValue="1.86" count="2">
        <m/>
        <n v="1.86" u="1"/>
      </sharedItems>
    </cacheField>
    <cacheField name="Invoice Date" numFmtId="164">
      <sharedItems containsNonDate="0" containsString="0" containsBlank="1"/>
    </cacheField>
    <cacheField name="Client Name" numFmtId="0">
      <sharedItems containsNonDate="0" containsBlank="1" count="21">
        <m/>
        <s v="NA" u="1"/>
        <s v="NP Fashion" u="1"/>
        <s v="WATER ENGINEERS" u="1"/>
        <s v="&quot;&quot;&quot;TAJ Naphthalene Balls 400 g&quot;&quot;&quot;" u="1"/>
        <s v="&quot;&quot;&quot;Ahman Naphthalene Balls 250 g&quot;&quot;&quot;" u="1"/>
        <s v="S K  BAJAJ   ASSOCIATES" u="1"/>
        <s v="Ds Biryani Corner" u="1"/>
        <s v="SHREE DURGA ENTERPRISES" u="1"/>
        <s v="URVI Tools and technology" u="1"/>
        <s v="Innovious Healthcare Private Limited" u="1"/>
        <s v="Cancel" u="1"/>
        <s v="09AJWPT0727E1ZR" u="1"/>
        <s v="Deep Enterprises" u="1"/>
        <s v="07ASJPK1155D1Z1" u="1"/>
        <s v="Wian Tech Pvt Ltd" u="1"/>
        <s v="AKAR   Associates" u="1"/>
        <s v="06AQGPP7996Q1ZL" u="1"/>
        <s v="&quot;&quot;&quot;Ahman Naphthalene Balls 500 g&quot;&quot;&quot;" u="1"/>
        <s v="SHA Electrical" u="1"/>
        <s v="KELVIN SCALE" u="1"/>
      </sharedItems>
    </cacheField>
    <cacheField name="GSTN" numFmtId="0">
      <sharedItems containsNonDate="0" containsBlank="1" count="20">
        <m/>
        <s v="NA" u="1"/>
        <s v="&quot;&quot;&quot;NPBGJRB8M6XWCKYH&quot;&quot;&quot;" u="1"/>
        <s v="33BECPN0828Q1Z9" u="1"/>
        <s v="27AAACW6270B1ZI" u="1"/>
        <s v="&quot;&quot;&quot;NPBGCZJQSGG6ZMHT&quot;&quot;&quot;" u="1"/>
        <s v="07AACFK5444Q1ZV" u="1"/>
        <s v="29BMNPG5814L1ZJ" u="1"/>
        <s v="Cancel" u="1"/>
        <s v="09AJWPT0727E1ZR" u="1"/>
        <s v="06AVIPS7939P1ZH" u="1"/>
        <s v="09CFMPS5067Q1Z9" u="1"/>
        <s v="09AGHPK9348Q1ZE" u="1"/>
        <s v="27AFHPM8234N1ZV" u="1"/>
        <s v="07ASJPK1155D1Z1" u="1"/>
        <s v="06AQGPP7996Q1ZL" u="1"/>
        <s v="07DNCPK1890N1ZK" u="1"/>
        <s v="&quot;&quot;&quot;NPBGHBM8UQHKEYVF&quot;&quot;&quot;" u="1"/>
        <s v="27AIRPB8300M1Z0" u="1"/>
        <s v="09AAECI1624F1ZU" u="1"/>
      </sharedItems>
    </cacheField>
    <cacheField name="Period" numFmtId="0">
      <sharedItems containsNonDate="0" containsDate="1" containsBlank="1" containsMixedTypes="1" minDate="2021-04-01T00:00:00" maxDate="2021-04-02T00:00:00" count="3">
        <m/>
        <s v="SEP" u="1"/>
        <d v="2021-04-01T00:00:00" u="1"/>
      </sharedItems>
    </cacheField>
    <cacheField name="FY" numFmtId="0">
      <sharedItems containsNonDate="0" containsString="0" containsBlank="1" containsNumber="1" containsInteger="1" minValue="0" maxValue="2023" count="4">
        <m/>
        <n v="2023" u="1"/>
        <n v="0" u="1"/>
        <n v="22" u="1"/>
      </sharedItems>
    </cacheField>
    <cacheField name="Nature" numFmtId="0">
      <sharedItems containsNonDate="0" containsBlank="1" count="37">
        <m/>
        <s v="B2C" u="1"/>
        <s v="FAKG712400000007" u="1"/>
        <s v="FAKG712400000016" u="1"/>
        <s v="FAKG712400000025" u="1"/>
        <s v="RAIDYF2400000001" u="1"/>
        <s v="FAKG712400000003" u="1"/>
        <s v="FAKG712400000012" u="1"/>
        <s v="FAKG712400000021" u="1"/>
        <s v="FAKG712400000008" u="1"/>
        <e v="#VALUE!" u="1"/>
        <s v="FAKG712400000017" u="1"/>
        <s v="FAKG712400000026" u="1"/>
        <s v="RAIDYF2400000002" u="1"/>
        <s v="Return" u="1"/>
        <s v="Sale" u="1"/>
        <s v="FAKG712400000004" u="1"/>
        <s v="FAKG712400000013" u="1"/>
        <s v="FAKG712400000022" u="1"/>
        <s v="FAKG712400000009" u="1"/>
        <s v="FAKG712400000018" u="1"/>
        <s v="FAKG712400000027" u="1"/>
        <s v="RAIDYF2400000003" u="1"/>
        <s v="FAKG712400000005" u="1"/>
        <s v="FAKG712400000014" u="1"/>
        <s v="FAKG712400000023" u="1"/>
        <s v="FAKG712400000019" u="1"/>
        <s v="RAIDYF2400000004" u="1"/>
        <s v="FAKG712400000001" u="1"/>
        <s v="FAKG712400000010" u="1"/>
        <s v="FAKG712400000006" u="1"/>
        <s v="FAKG712400000015" u="1"/>
        <s v="FAKG712400000024" u="1"/>
        <s v="B2B" u="1"/>
        <s v="FAKG712400000002" u="1"/>
        <s v="FAKG712400000011" u="1"/>
        <s v="FAKG712400000020" u="1"/>
      </sharedItems>
    </cacheField>
    <cacheField name="Transaction Type" numFmtId="0">
      <sharedItems containsNonDate="0" containsString="0" containsBlank="1"/>
    </cacheField>
    <cacheField name="Destination" numFmtId="0">
      <sharedItems containsNonDate="0" containsBlank="1" count="94">
        <m/>
        <s v="Haryana" u="1"/>
        <s v="Delhi" u="1"/>
        <s v="Kerala" u="1"/>
        <s v="Uttar Pradesh" u="1"/>
        <s v="Karnataka" u="1"/>
        <s v="Himachal Pradesh" u="1"/>
        <s v="Assam" u="1"/>
        <s v="Jharkhand" u="1"/>
        <s v="Bihar" u="1"/>
        <s v="Maharashtra" u="1"/>
        <s v="West Bengal" u="1"/>
        <s v="Jammu &amp; Kashmir" u="1"/>
        <s v="Rajasthan" u="1"/>
        <s v="Odisha" u="1"/>
        <s v="Tripura" u="1"/>
        <s v="Andhra Pradesh" u="1"/>
        <s v="Gujarat" u="1"/>
        <s v="Punjab" u="1"/>
        <s v="Uttarakhand" u="1"/>
        <s v="122001" u="1"/>
        <s v="110046" u="1"/>
        <s v="695551" u="1"/>
        <s v="226014" u="1"/>
        <s v="577123" u="1"/>
        <s v="171001" u="1"/>
        <s v="783370" u="1"/>
        <s v="277202" u="1"/>
        <s v="834005" u="1"/>
        <s v="570023" u="1"/>
        <s v="855107" u="1"/>
        <s v="176062" u="1"/>
        <s v="411006" u="1"/>
        <s v="800027" u="1"/>
        <s v="700136" u="1"/>
        <s v="226025" u="1"/>
        <s v="180015" u="1"/>
        <s v="713204" u="1"/>
        <s v="671121" u="1"/>
        <s v="302002" u="1"/>
        <s v="768017" u="1"/>
        <s v="845305" u="1"/>
        <s v="799155" u="1"/>
        <s v="845438" u="1"/>
        <s v="752055" u="1"/>
        <s v="122101" u="1"/>
        <s v="534316" u="1"/>
        <s v="335512" u="1"/>
        <s v="751012" u="1"/>
        <s v="842001" u="1"/>
        <s v="363641" u="1"/>
        <s v="400037" u="1"/>
        <s v="142032" u="1"/>
        <s v="284002" u="1"/>
        <s v="110040" u="1"/>
        <s v="800013" u="1"/>
        <s v="248001" u="1"/>
        <s v="144401" u="1"/>
        <s v="722149" u="1"/>
        <s v="110026" u="1"/>
        <s v="680586" u="1"/>
        <s v="124105" u="1"/>
        <s v="560091" u="1"/>
        <s v="110030" u="1"/>
        <s v="713359" u="1"/>
        <s v="226026" u="1"/>
        <s v="221003" u="1"/>
        <s v="Chandigarh" u="1"/>
        <s v="Madhya Pradesh" u="1"/>
        <s v="Tamil Nadu" u="1"/>
        <s v="Nagaland" u="1"/>
        <s v="Goa" u="1"/>
        <s v="ARUNACHAL PRADESH" u="1"/>
        <s v="ANDAMAN AND NICOBAR ISLANDS" u="1"/>
        <s v="HP" u="1"/>
        <s v="PONDICHERRY" u="1"/>
        <s v="Chattisgarh" u="1"/>
        <s v="Postpaid" u="1"/>
        <s v="CHHATTISGARH" u="1"/>
        <s v="Puducherry" u="1"/>
        <s v="JAMMU AND KASHMIR" u="1"/>
        <s v="ha" u="1"/>
        <s v="Manipur" u="1"/>
        <s v="Megalaya" u="1"/>
        <s v="Telangana" u="1"/>
        <s v="THE DADRA AND NAGAR HAVELI AND DAMAN AND DIU" u="1"/>
        <s v="Prepaid" u="1"/>
        <s v="MEGHALAYA" u="1"/>
        <s v="Andaman and Nico.In." u="1"/>
        <s v="MIZORAM" u="1"/>
        <s v="SIKKIM" u="1"/>
        <s v="B2C" u="1"/>
        <s v="JAMMU   KASHMIR" u="1"/>
        <s v="Orissa" u="1"/>
      </sharedItems>
    </cacheField>
    <cacheField name="HSN Code" numFmtId="0">
      <sharedItems containsNonDate="0" containsString="0" containsBlank="1"/>
    </cacheField>
    <cacheField name="Qty" numFmtId="0">
      <sharedItems containsNonDate="0" containsString="0" containsBlank="1"/>
    </cacheField>
    <cacheField name=" Taxable Amount " numFmtId="43">
      <sharedItems containsNonDate="0" containsString="0" containsBlank="1"/>
    </cacheField>
    <cacheField name="Rate" numFmtId="0">
      <sharedItems containsNonDate="0" containsString="0" containsBlank="1" containsNumber="1" minValue="0" maxValue="18" count="8">
        <m/>
        <n v="18" u="1"/>
        <n v="0" u="1"/>
        <n v="5" u="1"/>
        <n v="0.12" u="1"/>
        <n v="0.18" u="1"/>
        <n v="3" u="1"/>
        <n v="12" u="1"/>
      </sharedItems>
    </cacheField>
    <cacheField name="IGST" numFmtId="2">
      <sharedItems containsNonDate="0" containsString="0" containsBlank="1"/>
    </cacheField>
    <cacheField name=" CGST " numFmtId="43">
      <sharedItems containsNonDate="0" containsString="0" containsBlank="1"/>
    </cacheField>
    <cacheField name=" SGST " numFmtId="43">
      <sharedItems containsNonDate="0" containsString="0" containsBlank="1"/>
    </cacheField>
    <cacheField name=" Invoice Amount " numFmtId="43">
      <sharedItems containsNonDate="0" containsString="0" containsBlank="1"/>
    </cacheField>
    <cacheField name=" TCS " numFmtId="43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ojibuddin Siddiqui" refreshedDate="45201.496962268517" createdVersion="6" refreshedVersion="8" minRefreshableVersion="3" recordCount="100" xr:uid="{00000000-000A-0000-FFFF-FFFF01000000}">
  <cacheSource type="worksheet">
    <worksheetSource ref="A1:S1048576" sheet="Sales"/>
  </cacheSource>
  <cacheFields count="19">
    <cacheField name="Marketplace" numFmtId="0">
      <sharedItems containsNonDate="0" containsBlank="1" count="10">
        <m/>
        <s v="Flipkart" u="1"/>
        <s v="shopee" u="1"/>
        <s v="ShopClues" u="1"/>
        <s v="meesho" u="1"/>
        <s v="10MJMPS9159P1Z0" u="1"/>
        <s v="Amazon" u="1"/>
        <s v="=" u="1"/>
        <s v="Snapdeal" u="1"/>
        <s v="Na" u="1"/>
      </sharedItems>
    </cacheField>
    <cacheField name="Invoice Number" numFmtId="0">
      <sharedItems containsNonDate="0" containsString="0" containsBlank="1"/>
    </cacheField>
    <cacheField name="Invoice Date" numFmtId="164">
      <sharedItems containsNonDate="0" containsString="0" containsBlank="1"/>
    </cacheField>
    <cacheField name="Client Name" numFmtId="0">
      <sharedItems containsNonDate="0" containsString="0" containsBlank="1"/>
    </cacheField>
    <cacheField name="GSTN" numFmtId="0">
      <sharedItems containsNonDate="0" containsString="0" containsBlank="1"/>
    </cacheField>
    <cacheField name="Period" numFmtId="0">
      <sharedItems containsNonDate="0" containsDate="1" containsBlank="1" containsMixedTypes="1" minDate="2021-04-01T00:00:00" maxDate="2021-04-02T00:00:00" count="3">
        <m/>
        <s v="SEP" u="1"/>
        <d v="2021-04-01T00:00:00" u="1"/>
      </sharedItems>
    </cacheField>
    <cacheField name="FY" numFmtId="0">
      <sharedItems containsNonDate="0" containsString="0" containsBlank="1" containsNumber="1" containsInteger="1" minValue="0" maxValue="2023" count="4">
        <m/>
        <n v="2023" u="1"/>
        <n v="0" u="1"/>
        <n v="22" u="1"/>
      </sharedItems>
    </cacheField>
    <cacheField name="Nature" numFmtId="0">
      <sharedItems containsNonDate="0" containsString="0" containsBlank="1"/>
    </cacheField>
    <cacheField name="Transaction Type" numFmtId="0">
      <sharedItems containsNonDate="0" containsString="0" containsBlank="1"/>
    </cacheField>
    <cacheField name="Destination" numFmtId="0">
      <sharedItems containsNonDate="0" containsString="0" containsBlank="1"/>
    </cacheField>
    <cacheField name="HSN Code" numFmtId="0">
      <sharedItems containsNonDate="0" containsString="0" containsBlank="1"/>
    </cacheField>
    <cacheField name="Qty" numFmtId="0">
      <sharedItems containsNonDate="0" containsString="0" containsBlank="1"/>
    </cacheField>
    <cacheField name=" Taxable Amount " numFmtId="43">
      <sharedItems containsNonDate="0" containsString="0" containsBlank="1"/>
    </cacheField>
    <cacheField name="Rate" numFmtId="0">
      <sharedItems containsNonDate="0" containsString="0" containsBlank="1"/>
    </cacheField>
    <cacheField name="IGST" numFmtId="2">
      <sharedItems containsNonDate="0" containsString="0" containsBlank="1"/>
    </cacheField>
    <cacheField name=" CGST " numFmtId="43">
      <sharedItems containsNonDate="0" containsString="0" containsBlank="1"/>
    </cacheField>
    <cacheField name=" SGST " numFmtId="43">
      <sharedItems containsNonDate="0" containsString="0" containsBlank="1"/>
    </cacheField>
    <cacheField name=" Invoice Amount " numFmtId="43">
      <sharedItems containsNonDate="0" containsString="0" containsBlank="1"/>
    </cacheField>
    <cacheField name=" TCS " numFmtId="43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  <r>
    <m/>
    <m/>
    <m/>
    <m/>
    <x v="0"/>
    <x v="0"/>
    <x v="0"/>
    <m/>
    <x v="0"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m/>
    <m/>
    <m/>
    <x v="0"/>
    <x v="0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  <r>
    <x v="0"/>
    <m/>
    <x v="0"/>
    <x v="0"/>
    <x v="0"/>
    <x v="0"/>
    <x v="0"/>
    <m/>
    <x v="0"/>
    <m/>
    <m/>
    <m/>
    <x v="0"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  <r>
    <x v="0"/>
    <m/>
    <m/>
    <m/>
    <m/>
    <x v="0"/>
    <x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681" applyNumberFormats="0" applyBorderFormats="0" applyFontFormats="0" applyPatternFormats="0" applyAlignmentFormats="0" applyWidthHeightFormats="1" dataCaption="Values" updatedVersion="8" minRefreshableVersion="3" useAutoFormatting="1" createdVersion="6" indent="0" outline="1" outlineData="1" multipleFieldFilters="0">
  <location ref="B15:C17" firstHeaderRow="1" firstDataRow="1" firstDataCol="1" rowPageCount="2" colPageCount="1"/>
  <pivotFields count="19">
    <pivotField axis="axisRow" showAll="0">
      <items count="11">
        <item m="1" x="6"/>
        <item m="1" x="1"/>
        <item m="1" x="4"/>
        <item x="0"/>
        <item m="1" x="3"/>
        <item m="1" x="8"/>
        <item m="1" x="7"/>
        <item m="1" x="2"/>
        <item m="1" x="9"/>
        <item m="1" x="5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4">
        <item x="0"/>
        <item h="1" m="1" x="2"/>
        <item h="1" m="1" x="1"/>
        <item t="default"/>
      </items>
    </pivotField>
    <pivotField axis="axisPage" multipleItemSelectionAllowed="1" showAll="0">
      <items count="5">
        <item x="0"/>
        <item h="1" m="1" x="2"/>
        <item h="1" m="1" x="3"/>
        <item h="1"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44" showAll="0"/>
    <pivotField showAll="0"/>
    <pivotField showAll="0"/>
    <pivotField showAll="0"/>
    <pivotField showAll="0"/>
  </pivotFields>
  <rowFields count="1">
    <field x="0"/>
  </rowFields>
  <rowItems count="2">
    <i>
      <x v="3"/>
    </i>
    <i t="grand">
      <x/>
    </i>
  </rowItems>
  <colItems count="1">
    <i/>
  </colItems>
  <pageFields count="2">
    <pageField fld="6" hier="0"/>
    <pageField fld="5" hier="0"/>
  </pageFields>
  <dataFields count="1">
    <dataField name="Sum of IGST" fld="14" baseField="0" baseItem="0"/>
  </dataFields>
  <formats count="3">
    <format dxfId="5">
      <pivotArea collapsedLevelsAreSubtotals="1" fieldPosition="0">
        <references count="1">
          <reference field="0" count="3">
            <x v="0"/>
            <x v="1"/>
            <x v="2"/>
          </reference>
        </references>
      </pivotArea>
    </format>
    <format dxfId="4">
      <pivotArea grandRow="1" outline="0" collapsedLevelsAreSubtotals="1" fieldPosition="0"/>
    </format>
    <format dxfId="3">
      <pivotArea outline="0" collapsedLevelsAreSubtotals="1" fieldPosition="0"/>
    </format>
  </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2" cacheId="2666" applyNumberFormats="0" applyBorderFormats="0" applyFontFormats="0" applyPatternFormats="0" applyAlignmentFormats="0" applyWidthHeightFormats="1" dataCaption="Values" updatedVersion="8" minRefreshableVersion="3" useAutoFormatting="1" createdVersion="6" indent="0" outline="1" outlineData="1" multipleFieldFilters="0">
  <location ref="P15:S18" firstHeaderRow="1" firstDataRow="2" firstDataCol="1" rowPageCount="2" colPageCount="1"/>
  <pivotFields count="13">
    <pivotField showAll="0"/>
    <pivotField axis="axisRow" showAll="0">
      <items count="4">
        <item m="1" x="1"/>
        <item x="0"/>
        <item m="1" x="2"/>
        <item t="default"/>
      </items>
    </pivotField>
    <pivotField showAll="0"/>
    <pivotField showAll="0"/>
    <pivotField showAll="0"/>
    <pivotField axis="axisPage" showAll="0">
      <items count="4">
        <item m="1" x="2"/>
        <item x="0"/>
        <item m="1" x="1"/>
        <item t="default"/>
      </items>
    </pivotField>
    <pivotField axis="axisPage" showAll="0">
      <items count="10">
        <item m="1" x="8"/>
        <item m="1" x="7"/>
        <item m="1" x="1"/>
        <item x="0"/>
        <item m="1" x="6"/>
        <item m="1" x="4"/>
        <item m="1" x="3"/>
        <item m="1" x="2"/>
        <item m="1" x="5"/>
        <item t="default"/>
      </items>
    </pivotField>
    <pivotField showAll="0"/>
    <pivotField dataField="1" showAll="0"/>
    <pivotField dataField="1" showAll="0"/>
    <pivotField dataField="1" showAll="0"/>
    <pivotField showAll="0"/>
    <pivotField showAll="0"/>
  </pivotFields>
  <rowFields count="1">
    <field x="1"/>
  </rowFields>
  <rowItems count="2"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5" hier="0"/>
    <pageField fld="6" hier="0"/>
  </pageFields>
  <dataFields count="3">
    <dataField name="Sum of IGST" fld="8" baseField="0" baseItem="0"/>
    <dataField name="Sum of CGST" fld="9" baseField="0" baseItem="0"/>
    <dataField name="Sum of SGST" fld="10" baseField="0" baseItem="0"/>
  </dataFields>
  <formats count="1">
    <format dxfId="6">
      <pivotArea outline="0" collapsedLevelsAreSubtotals="1" fieldPosition="0"/>
    </format>
  </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3" cacheId="2661" applyNumberFormats="0" applyBorderFormats="0" applyFontFormats="0" applyPatternFormats="0" applyAlignmentFormats="0" applyWidthHeightFormats="1" dataCaption="Values" updatedVersion="8" minRefreshableVersion="3" useAutoFormatting="1" createdVersion="6" indent="0" outline="1" outlineData="1" multipleFieldFilters="0">
  <location ref="I16:J17" firstHeaderRow="1" firstDataRow="1" firstDataCol="1" rowPageCount="3" colPageCount="1"/>
  <pivotFields count="17">
    <pivotField showAll="0"/>
    <pivotField showAll="0"/>
    <pivotField showAll="0"/>
    <pivotField showAll="0"/>
    <pivotField axis="axisPage" multipleItemSelectionAllowed="1" showAll="0">
      <items count="4">
        <item h="1" x="0"/>
        <item m="1" x="2"/>
        <item h="1" m="1" x="1"/>
        <item t="default"/>
      </items>
    </pivotField>
    <pivotField axis="axisPage" multipleItemSelectionAllowed="1" showAll="0">
      <items count="5">
        <item x="0"/>
        <item h="1" m="1" x="2"/>
        <item h="1" m="1" x="3"/>
        <item h="1" m="1" x="1"/>
        <item t="default"/>
      </items>
    </pivotField>
    <pivotField axis="axisPage" multipleItemSelectionAllowed="1" showAll="0">
      <items count="38">
        <item h="1" m="1" x="33"/>
        <item m="1" x="1"/>
        <item h="1" x="0"/>
        <item h="1" m="1" x="15"/>
        <item h="1" m="1" x="14"/>
        <item h="1" m="1" x="10"/>
        <item h="1" m="1" x="28"/>
        <item h="1" m="1" x="34"/>
        <item h="1" m="1" x="6"/>
        <item h="1" m="1" x="16"/>
        <item h="1" m="1" x="23"/>
        <item h="1" m="1" x="30"/>
        <item h="1" m="1" x="9"/>
        <item h="1" m="1" x="2"/>
        <item h="1" m="1" x="29"/>
        <item h="1" m="1" x="19"/>
        <item h="1" m="1" x="31"/>
        <item h="1" m="1" x="24"/>
        <item h="1" m="1" x="3"/>
        <item h="1" m="1" x="7"/>
        <item h="1" m="1" x="35"/>
        <item h="1" m="1" x="17"/>
        <item h="1" m="1" x="26"/>
        <item h="1" m="1" x="11"/>
        <item h="1" m="1" x="20"/>
        <item h="1" m="1" x="5"/>
        <item h="1" m="1" x="36"/>
        <item h="1" m="1" x="13"/>
        <item h="1" m="1" x="22"/>
        <item h="1" m="1" x="8"/>
        <item h="1" m="1" x="18"/>
        <item h="1" m="1" x="25"/>
        <item h="1" m="1" x="32"/>
        <item h="1" m="1" x="4"/>
        <item h="1" m="1" x="12"/>
        <item h="1" m="1" x="21"/>
        <item h="1" m="1" x="27"/>
        <item t="default"/>
      </items>
    </pivotField>
    <pivotField showAll="0"/>
    <pivotField axis="axisRow" showAll="0">
      <items count="96">
        <item m="1" x="16"/>
        <item m="1" x="7"/>
        <item m="1" x="9"/>
        <item m="1" x="78"/>
        <item m="1" x="2"/>
        <item m="1" x="17"/>
        <item m="1" x="1"/>
        <item m="1" x="6"/>
        <item m="1" x="93"/>
        <item m="1" x="8"/>
        <item m="1" x="5"/>
        <item m="1" x="3"/>
        <item m="1" x="68"/>
        <item m="1" x="10"/>
        <item m="1" x="90"/>
        <item m="1" x="70"/>
        <item m="1" x="14"/>
        <item m="1" x="18"/>
        <item m="1" x="13"/>
        <item m="1" x="69"/>
        <item m="1" x="84"/>
        <item m="1" x="15"/>
        <item m="1" x="4"/>
        <item m="1" x="19"/>
        <item m="1" x="11"/>
        <item x="0"/>
        <item m="1" x="67"/>
        <item m="1" x="79"/>
        <item m="1" x="82"/>
        <item m="1" x="88"/>
        <item m="1" x="72"/>
        <item m="1" x="87"/>
        <item m="1" x="76"/>
        <item m="1" x="12"/>
        <item m="1" x="71"/>
        <item m="1" x="74"/>
        <item m="1" x="75"/>
        <item m="1" x="91"/>
        <item m="1" x="80"/>
        <item m="1" x="94"/>
        <item m="1" x="83"/>
        <item m="1" x="89"/>
        <item m="1" x="73"/>
        <item m="1" x="85"/>
        <item m="1" x="77"/>
        <item m="1" x="86"/>
        <item m="1" x="92"/>
        <item m="1" x="81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t="default"/>
      </items>
    </pivotField>
    <pivotField showAll="0"/>
    <pivotField showAll="0"/>
    <pivotField showAll="0"/>
    <pivotField numFmtId="44" showAll="0"/>
    <pivotField dataField="1" numFmtId="44" showAll="0"/>
    <pivotField showAll="0"/>
    <pivotField showAll="0"/>
    <pivotField showAll="0"/>
  </pivotFields>
  <rowFields count="1">
    <field x="8"/>
  </rowFields>
  <rowItems count="1">
    <i t="grand">
      <x/>
    </i>
  </rowItems>
  <colItems count="1">
    <i/>
  </colItems>
  <pageFields count="3">
    <pageField fld="5" hier="0"/>
    <pageField fld="4" hier="0"/>
    <pageField fld="6" hier="0"/>
  </pageFields>
  <dataFields count="1">
    <dataField name="Sum of IGST" fld="13" baseField="0" baseItem="0"/>
  </dataFields>
  <formats count="2">
    <format dxfId="8">
      <pivotArea dataOnly="0" fieldPosition="0">
        <references count="4">
          <reference field="4" count="0" selected="0"/>
          <reference field="5" count="0" selected="0"/>
          <reference field="6" count="1" selected="0">
            <x v="1"/>
          </reference>
          <reference field="8" count="1">
            <x v="4"/>
          </reference>
        </references>
      </pivotArea>
    </format>
    <format dxfId="7">
      <pivotArea outline="0" collapsedLevelsAreSubtotals="1" fieldPosition="0"/>
    </format>
  </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B2B Invoices" cacheId="2676" applyNumberFormats="0" applyBorderFormats="0" applyFontFormats="0" applyPatternFormats="0" applyAlignmentFormats="0" applyWidthHeightFormats="1" dataCaption="Values" updatedVersion="8" minRefreshableVersion="3" enableDrill="0" useAutoFormatting="1" rowGrandTotals="0" colGrandTotals="0" createdVersion="6" indent="0" compact="0" compactData="0" multipleFieldFilters="0">
  <location ref="A6:E7" firstHeaderRow="1" firstDataRow="1" firstDataCol="4" rowPageCount="3" colPageCount="1"/>
  <pivotFields count="18">
    <pivotField axis="axisRow" compact="0" outline="0" showAll="0" defaultSubtotal="0">
      <items count="2">
        <item x="0"/>
        <item m="1" x="1"/>
      </items>
    </pivotField>
    <pivotField compact="0" outline="0" showAll="0"/>
    <pivotField axis="axisRow" compact="0" outline="0" showAll="0" defaultSubtotal="0">
      <items count="21">
        <item m="1" x="17"/>
        <item m="1" x="14"/>
        <item m="1" x="12"/>
        <item m="1" x="11"/>
        <item m="1" x="20"/>
        <item m="1" x="1"/>
        <item x="0"/>
        <item m="1" x="9"/>
        <item m="1" x="19"/>
        <item m="1" x="3"/>
        <item m="1" x="10"/>
        <item m="1" x="7"/>
        <item m="1" x="6"/>
        <item m="1" x="8"/>
        <item m="1" x="2"/>
        <item m="1" x="13"/>
        <item m="1" x="15"/>
        <item m="1" x="16"/>
        <item m="1" x="5"/>
        <item m="1" x="18"/>
        <item m="1" x="4"/>
      </items>
    </pivotField>
    <pivotField axis="axisRow" compact="0" outline="0" showAll="0" defaultSubtotal="0">
      <items count="20">
        <item m="1" x="15"/>
        <item m="1" x="14"/>
        <item m="1" x="16"/>
        <item m="1" x="9"/>
        <item m="1" x="8"/>
        <item m="1" x="1"/>
        <item x="0"/>
        <item m="1" x="7"/>
        <item m="1" x="19"/>
        <item m="1" x="10"/>
        <item m="1" x="18"/>
        <item m="1" x="12"/>
        <item m="1" x="11"/>
        <item m="1" x="13"/>
        <item m="1" x="4"/>
        <item m="1" x="3"/>
        <item m="1" x="6"/>
        <item m="1" x="17"/>
        <item m="1" x="5"/>
        <item m="1" x="2"/>
      </items>
    </pivotField>
    <pivotField axis="axisPage" compact="0" outline="0" multipleItemSelectionAllowed="1" showAll="0" defaultSubtotal="0">
      <items count="3">
        <item x="0"/>
        <item m="1" x="2"/>
        <item m="1" x="1"/>
      </items>
    </pivotField>
    <pivotField axis="axisPage" compact="0" outline="0" showAll="0" defaultSubtotal="0">
      <items count="4">
        <item x="0"/>
        <item m="1" x="2"/>
        <item m="1" x="3"/>
        <item m="1" x="1"/>
      </items>
    </pivotField>
    <pivotField axis="axisPage" compact="0" outline="0" showAll="0" defaultSubtotal="0">
      <items count="37">
        <item m="1" x="33"/>
        <item m="1" x="1"/>
        <item x="0"/>
        <item m="1" x="15"/>
        <item m="1" x="14"/>
        <item m="1" x="10"/>
        <item m="1" x="28"/>
        <item m="1" x="34"/>
        <item m="1" x="6"/>
        <item m="1" x="16"/>
        <item m="1" x="23"/>
        <item m="1" x="30"/>
        <item m="1" x="9"/>
        <item m="1" x="2"/>
        <item m="1" x="29"/>
        <item m="1" x="19"/>
        <item m="1" x="31"/>
        <item m="1" x="24"/>
        <item m="1" x="3"/>
        <item m="1" x="7"/>
        <item m="1" x="35"/>
        <item m="1" x="17"/>
        <item m="1" x="26"/>
        <item m="1" x="11"/>
        <item m="1" x="20"/>
        <item m="1" x="5"/>
        <item m="1" x="36"/>
        <item m="1" x="13"/>
        <item m="1" x="22"/>
        <item m="1" x="8"/>
        <item m="1" x="18"/>
        <item m="1" x="25"/>
        <item m="1" x="32"/>
        <item m="1" x="4"/>
        <item m="1" x="12"/>
        <item m="1" x="21"/>
        <item m="1" x="2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Row" compact="0" outline="0" showAll="0" defaultSubtotal="0">
      <items count="8">
        <item m="1" x="2"/>
        <item x="0"/>
        <item m="1" x="7"/>
        <item m="1" x="1"/>
        <item m="1" x="3"/>
        <item m="1" x="5"/>
        <item m="1" x="4"/>
        <item m="1" x="6"/>
      </items>
    </pivotField>
    <pivotField dataField="1" compact="0" outline="0" showAll="0" defaultSubtotal="0"/>
    <pivotField compact="0" outline="0" showAll="0"/>
    <pivotField compact="0" outline="0" showAll="0"/>
    <pivotField compact="0" outline="0" showAll="0"/>
    <pivotField compact="0" outline="0" showAll="0"/>
  </pivotFields>
  <rowFields count="4">
    <field x="0"/>
    <field x="2"/>
    <field x="3"/>
    <field x="12"/>
  </rowFields>
  <rowItems count="1">
    <i>
      <x/>
      <x v="6"/>
      <x v="6"/>
      <x v="1"/>
    </i>
  </rowItems>
  <colItems count="1">
    <i/>
  </colItems>
  <pageFields count="3">
    <pageField fld="5" item="0" hier="0"/>
    <pageField fld="6" item="2" hier="0"/>
    <pageField fld="4" hier="0"/>
  </pageFields>
  <dataFields count="1">
    <dataField name="Sum of IGST" fld="13" baseField="0" baseItem="0"/>
  </dataFields>
  <formats count="1">
    <format dxfId="1">
      <pivotArea outline="0" collapsedLevelsAreSubtotals="1" fieldPosition="0"/>
    </format>
  </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2676" applyNumberFormats="0" applyBorderFormats="0" applyFontFormats="0" applyPatternFormats="0" applyAlignmentFormats="0" applyWidthHeightFormats="1" dataCaption="Values" updatedVersion="8" minRefreshableVersion="3" showDrill="0" useAutoFormatting="1" createdVersion="6" indent="0" compact="0" compactData="0" gridDropZones="1" multipleFieldFilters="0">
  <location ref="M6:O8" firstHeaderRow="2" firstDataRow="2" firstDataCol="2" rowPageCount="3" colPageCount="1"/>
  <pivotFields count="18"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4">
        <item x="0"/>
        <item m="1" x="2"/>
        <item m="1" x="1"/>
        <item t="default"/>
      </items>
    </pivotField>
    <pivotField axis="axisPage" compact="0" outline="0" showAll="0">
      <items count="5">
        <item x="0"/>
        <item m="1" x="2"/>
        <item m="1" x="3"/>
        <item m="1" x="1"/>
        <item t="default"/>
      </items>
    </pivotField>
    <pivotField axis="axisPage" compact="0" outline="0" multipleItemSelectionAllowed="1" showAll="0">
      <items count="38">
        <item h="1" m="1" x="33"/>
        <item m="1" x="1"/>
        <item h="1" x="0"/>
        <item h="1" m="1" x="15"/>
        <item h="1" m="1" x="14"/>
        <item h="1" m="1" x="10"/>
        <item h="1" m="1" x="28"/>
        <item h="1" m="1" x="34"/>
        <item h="1" m="1" x="6"/>
        <item h="1" m="1" x="16"/>
        <item h="1" m="1" x="23"/>
        <item h="1" m="1" x="30"/>
        <item h="1" m="1" x="9"/>
        <item h="1" m="1" x="2"/>
        <item h="1" m="1" x="29"/>
        <item h="1" m="1" x="19"/>
        <item h="1" m="1" x="31"/>
        <item h="1" m="1" x="24"/>
        <item h="1" m="1" x="3"/>
        <item h="1" m="1" x="7"/>
        <item h="1" m="1" x="35"/>
        <item h="1" m="1" x="17"/>
        <item h="1" m="1" x="26"/>
        <item h="1" m="1" x="11"/>
        <item h="1" m="1" x="20"/>
        <item h="1" m="1" x="5"/>
        <item h="1" m="1" x="36"/>
        <item h="1" m="1" x="13"/>
        <item h="1" m="1" x="22"/>
        <item h="1" m="1" x="8"/>
        <item h="1" m="1" x="18"/>
        <item h="1" m="1" x="25"/>
        <item h="1" m="1" x="32"/>
        <item h="1" m="1" x="4"/>
        <item h="1" m="1" x="12"/>
        <item h="1" m="1" x="21"/>
        <item h="1" m="1" x="27"/>
        <item t="default"/>
      </items>
    </pivotField>
    <pivotField compact="0" outline="0" showAll="0"/>
    <pivotField axis="axisRow" compact="0" outline="0" showAll="0" defaultSubtotal="0">
      <items count="94">
        <item m="1" x="16"/>
        <item m="1" x="72"/>
        <item m="1" x="7"/>
        <item m="1" x="9"/>
        <item m="1" x="67"/>
        <item m="1" x="78"/>
        <item m="1" x="2"/>
        <item m="1" x="17"/>
        <item m="1" x="1"/>
        <item m="1" x="6"/>
        <item m="1" x="92"/>
        <item m="1" x="8"/>
        <item m="1" x="5"/>
        <item m="1" x="3"/>
        <item m="1" x="68"/>
        <item m="1" x="10"/>
        <item m="1" x="82"/>
        <item m="1" x="87"/>
        <item m="1" x="89"/>
        <item m="1" x="70"/>
        <item m="1" x="14"/>
        <item m="1" x="79"/>
        <item m="1" x="18"/>
        <item m="1" x="13"/>
        <item m="1" x="69"/>
        <item m="1" x="84"/>
        <item m="1" x="15"/>
        <item m="1" x="4"/>
        <item m="1" x="19"/>
        <item m="1" x="11"/>
        <item x="0"/>
        <item m="1" x="76"/>
        <item m="1" x="12"/>
        <item n=" GSTR" m="1" x="71"/>
        <item m="1" x="74"/>
        <item m="1" x="75"/>
        <item m="1" x="90"/>
        <item m="1" x="80"/>
        <item m="1" x="93"/>
        <item m="1" x="83"/>
        <item m="1" x="88"/>
        <item m="1" x="73"/>
        <item m="1" x="85"/>
        <item m="1" x="77"/>
        <item m="1" x="86"/>
        <item m="1" x="91"/>
        <item m="1" x="81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8">
        <item m="1" x="2"/>
        <item m="1" x="3"/>
        <item m="1" x="7"/>
        <item m="1" x="1"/>
        <item x="0"/>
        <item m="1" x="5"/>
        <item m="1" x="4"/>
        <item m="1" x="6"/>
      </items>
    </pivotField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8"/>
    <field x="12"/>
  </rowFields>
  <rowItems count="1">
    <i t="grand">
      <x/>
    </i>
  </rowItems>
  <colItems count="1">
    <i/>
  </colItems>
  <pageFields count="3">
    <pageField fld="5" hier="0"/>
    <pageField fld="6" hier="0"/>
    <pageField fld="4" item="0" hier="0"/>
  </pageFields>
  <dataFields count="1">
    <dataField name="Sum of IGST" fld="13" baseField="0" baseItem="0"/>
  </dataFields>
  <formats count="1">
    <format dxfId="2">
      <pivotArea outline="0" collapsedLevelsAreSubtotals="1" fieldPosition="0"/>
    </format>
  </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2681" applyNumberFormats="0" applyBorderFormats="0" applyFontFormats="0" applyPatternFormats="0" applyAlignmentFormats="0" applyWidthHeightFormats="1" dataCaption="Values" updatedVersion="8" minRefreshableVersion="3" useAutoFormatting="1" createdVersion="6" indent="0" outline="1" outlineData="1" multipleFieldFilters="0">
  <location ref="B6:B8" firstHeaderRow="1" firstDataRow="1" firstDataCol="1" rowPageCount="2" colPageCount="1"/>
  <pivotFields count="19">
    <pivotField axis="axisRow" showAll="0">
      <items count="11">
        <item m="1" x="6"/>
        <item m="1" x="1"/>
        <item m="1" x="4"/>
        <item x="0"/>
        <item m="1" x="3"/>
        <item m="1" x="8"/>
        <item m="1" x="7"/>
        <item m="1" x="2"/>
        <item m="1" x="9"/>
        <item m="1" x="5"/>
        <item t="default"/>
      </items>
    </pivotField>
    <pivotField showAll="0"/>
    <pivotField showAll="0"/>
    <pivotField showAll="0"/>
    <pivotField showAll="0"/>
    <pivotField axis="axisPage" showAll="0">
      <items count="4">
        <item x="0"/>
        <item m="1" x="2"/>
        <item m="1" x="1"/>
        <item t="default"/>
      </items>
    </pivotField>
    <pivotField axis="axisPage" showAll="0">
      <items count="5">
        <item x="0"/>
        <item m="1" x="2"/>
        <item m="1" x="3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3"/>
    </i>
    <i t="grand">
      <x/>
    </i>
  </rowItems>
  <colItems count="1">
    <i/>
  </colItems>
  <pageFields count="2">
    <pageField fld="6" hier="0"/>
    <pageField fld="5" item="0" hier="0"/>
  </pageFields>
  <formats count="1">
    <format dxfId="0">
      <pivotArea outline="0" collapsedLevelsAreSubtotals="1" fieldPosition="0"/>
    </format>
  </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C10"/>
  <sheetViews>
    <sheetView showGridLines="0" showRowColHeaders="0" zoomScale="69" zoomScaleNormal="69" workbookViewId="0">
      <selection activeCell="C23" sqref="C23"/>
    </sheetView>
  </sheetViews>
  <sheetFormatPr defaultColWidth="9" defaultRowHeight="15"/>
  <cols>
    <col min="1" max="1" width="3.5703125" customWidth="1"/>
    <col min="2" max="2" width="2.85546875" customWidth="1"/>
    <col min="3" max="3" width="127.42578125" customWidth="1"/>
  </cols>
  <sheetData>
    <row r="3" spans="2:3" ht="18.75">
      <c r="B3" s="41" t="s">
        <v>0</v>
      </c>
      <c r="C3" s="42"/>
    </row>
    <row r="4" spans="2:3" ht="21">
      <c r="B4" s="31"/>
      <c r="C4" s="32" t="s">
        <v>1</v>
      </c>
    </row>
    <row r="5" spans="2:3" ht="21">
      <c r="B5" s="31"/>
      <c r="C5" s="32" t="s">
        <v>2</v>
      </c>
    </row>
    <row r="6" spans="2:3" ht="42">
      <c r="B6" s="33"/>
      <c r="C6" s="38" t="s">
        <v>3</v>
      </c>
    </row>
    <row r="8" spans="2:3" ht="21">
      <c r="B8" s="34"/>
      <c r="C8" s="35" t="s">
        <v>4</v>
      </c>
    </row>
    <row r="9" spans="2:3" ht="21">
      <c r="B9" s="31"/>
      <c r="C9" s="39" t="s">
        <v>138</v>
      </c>
    </row>
    <row r="10" spans="2:3" ht="21">
      <c r="B10" s="33"/>
      <c r="C10" s="40" t="s">
        <v>139</v>
      </c>
    </row>
  </sheetData>
  <mergeCells count="1">
    <mergeCell ref="B3:C3"/>
  </mergeCells>
  <pageMargins left="0.7" right="0.7" top="0.75" bottom="0.75" header="0.3" footer="0.3"/>
  <pageSetup orientation="portrait"/>
  <headerFooter>
    <oddFooter>&amp;L&amp;1#&amp;"Calibri"&amp;10&amp;K000000Classification: Public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B100"/>
  <sheetViews>
    <sheetView tabSelected="1" zoomScale="85" zoomScaleNormal="85" workbookViewId="0">
      <pane ySplit="1" topLeftCell="A2" activePane="bottomLeft" state="frozen"/>
      <selection pane="bottomLeft" activeCell="A101" sqref="A101"/>
    </sheetView>
  </sheetViews>
  <sheetFormatPr defaultColWidth="8.85546875" defaultRowHeight="15"/>
  <cols>
    <col min="1" max="1" width="12.140625" style="27" bestFit="1" customWidth="1"/>
    <col min="2" max="2" width="15.28515625" style="27" bestFit="1" customWidth="1"/>
    <col min="3" max="3" width="12" style="28" bestFit="1" customWidth="1"/>
    <col min="4" max="4" width="12" style="27" bestFit="1" customWidth="1"/>
    <col min="5" max="5" width="5.85546875" style="27" bestFit="1" customWidth="1"/>
    <col min="6" max="6" width="6.85546875" style="27" bestFit="1" customWidth="1"/>
    <col min="7" max="7" width="7.85546875" style="27" bestFit="1" customWidth="1"/>
    <col min="8" max="8" width="7.140625" style="27" bestFit="1" customWidth="1"/>
    <col min="9" max="9" width="16" style="27" bestFit="1" customWidth="1"/>
    <col min="10" max="10" width="11.28515625" style="27" bestFit="1" customWidth="1"/>
    <col min="11" max="11" width="9.7109375" style="27" bestFit="1" customWidth="1"/>
    <col min="12" max="12" width="4.140625" style="27" bestFit="1" customWidth="1"/>
    <col min="13" max="13" width="16.42578125" style="29" bestFit="1" customWidth="1"/>
    <col min="14" max="14" width="5" style="27" bestFit="1" customWidth="1"/>
    <col min="15" max="15" width="5" style="30" bestFit="1" customWidth="1"/>
    <col min="16" max="17" width="6.5703125" style="29" bestFit="1" customWidth="1"/>
    <col min="18" max="18" width="16" style="29" bestFit="1" customWidth="1"/>
    <col min="19" max="19" width="5.140625" style="29" bestFit="1" customWidth="1"/>
    <col min="20" max="20" width="5.7109375" style="27" bestFit="1" customWidth="1"/>
    <col min="21" max="21" width="4.7109375" style="27" bestFit="1" customWidth="1"/>
    <col min="22" max="22" width="5.7109375" style="27" bestFit="1" customWidth="1"/>
    <col min="23" max="23" width="2.140625" style="27" bestFit="1" customWidth="1"/>
    <col min="24" max="24" width="7.42578125" style="27" bestFit="1" customWidth="1"/>
    <col min="25" max="30" width="3.7109375" style="27" bestFit="1" customWidth="1"/>
    <col min="31" max="31" width="4.7109375" style="27" bestFit="1" customWidth="1"/>
    <col min="32" max="32" width="6.42578125" style="27" bestFit="1" customWidth="1"/>
    <col min="33" max="33" width="3.7109375" style="27" bestFit="1" customWidth="1"/>
    <col min="34" max="34" width="5.7109375" style="27" bestFit="1" customWidth="1"/>
    <col min="35" max="35" width="3.7109375" style="27" bestFit="1" customWidth="1"/>
    <col min="36" max="36" width="5.7109375" style="27" bestFit="1" customWidth="1"/>
    <col min="37" max="37" width="3.7109375" style="27" bestFit="1" customWidth="1"/>
    <col min="38" max="38" width="6.42578125" style="27" bestFit="1" customWidth="1"/>
    <col min="39" max="39" width="3.7109375" style="27" bestFit="1" customWidth="1"/>
    <col min="40" max="40" width="5.7109375" style="27" bestFit="1" customWidth="1"/>
    <col min="41" max="41" width="3.7109375" style="27" bestFit="1" customWidth="1"/>
    <col min="42" max="42" width="5.7109375" style="27" bestFit="1" customWidth="1"/>
    <col min="43" max="43" width="5.28515625" style="27" bestFit="1" customWidth="1"/>
    <col min="44" max="45" width="8.7109375" style="27" bestFit="1" customWidth="1"/>
    <col min="46" max="46" width="6.42578125" style="27" bestFit="1" customWidth="1"/>
    <col min="47" max="47" width="7.140625" style="27" bestFit="1" customWidth="1"/>
    <col min="48" max="48" width="8.85546875" style="27"/>
    <col min="49" max="49" width="7.140625" style="27" bestFit="1" customWidth="1"/>
    <col min="50" max="50" width="8.85546875" style="27"/>
    <col min="51" max="51" width="5.7109375" style="27" bestFit="1" customWidth="1"/>
    <col min="52" max="52" width="5.85546875" style="27" bestFit="1" customWidth="1"/>
    <col min="53" max="53" width="3.7109375" style="27" bestFit="1" customWidth="1"/>
    <col min="54" max="54" width="5.7109375" style="27" bestFit="1" customWidth="1"/>
    <col min="55" max="16384" width="8.85546875" style="27"/>
  </cols>
  <sheetData>
    <row r="1" spans="1:51">
      <c r="A1" s="37" t="s">
        <v>5</v>
      </c>
      <c r="B1" s="37" t="s">
        <v>6</v>
      </c>
      <c r="C1" s="37" t="s">
        <v>7</v>
      </c>
      <c r="D1" s="37" t="s">
        <v>8</v>
      </c>
      <c r="E1" s="37" t="s">
        <v>9</v>
      </c>
      <c r="F1" s="37" t="s">
        <v>10</v>
      </c>
      <c r="G1" s="37" t="s">
        <v>11</v>
      </c>
      <c r="H1" s="37" t="s">
        <v>12</v>
      </c>
      <c r="I1" s="37" t="s">
        <v>13</v>
      </c>
      <c r="J1" s="37" t="s">
        <v>14</v>
      </c>
      <c r="K1" s="37" t="s">
        <v>15</v>
      </c>
      <c r="L1" s="37" t="s">
        <v>16</v>
      </c>
      <c r="M1" s="37" t="s">
        <v>133</v>
      </c>
      <c r="N1" s="37" t="s">
        <v>17</v>
      </c>
      <c r="O1" s="37" t="s">
        <v>18</v>
      </c>
      <c r="P1" s="37" t="s">
        <v>134</v>
      </c>
      <c r="Q1" s="37" t="s">
        <v>135</v>
      </c>
      <c r="R1" s="37" t="s">
        <v>136</v>
      </c>
      <c r="S1" s="37" t="s">
        <v>137</v>
      </c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20:54"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</row>
    <row r="18" spans="20:54"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</row>
    <row r="19" spans="20:54"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</row>
    <row r="20" spans="20:54"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</row>
    <row r="21" spans="20:54"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</row>
    <row r="22" spans="20:54"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</row>
    <row r="23" spans="20:54"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</row>
    <row r="24" spans="20:54"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</row>
    <row r="25" spans="20:54"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</row>
    <row r="26" spans="20:54"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</row>
    <row r="27" spans="20:54"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</row>
    <row r="28" spans="20:54"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</row>
    <row r="29" spans="20:54"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</row>
    <row r="30" spans="20:54"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</row>
    <row r="31" spans="20:54"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</row>
    <row r="32" spans="20:54"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</row>
    <row r="33" spans="20:54"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</row>
    <row r="34" spans="20:54"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</row>
    <row r="35" spans="20:54"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</row>
    <row r="36" spans="20:54"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</row>
    <row r="37" spans="20:54"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</row>
    <row r="38" spans="20:54"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</row>
    <row r="39" spans="20:54"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</row>
    <row r="40" spans="20:54"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</row>
    <row r="41" spans="20:54"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</row>
    <row r="42" spans="20:54"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</row>
    <row r="43" spans="20:54"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</row>
    <row r="44" spans="20:54"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</row>
    <row r="45" spans="20:54"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</row>
    <row r="46" spans="20:54"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</row>
    <row r="47" spans="20:54"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</row>
    <row r="48" spans="20:54"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</row>
    <row r="49" spans="20:54"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</row>
    <row r="50" spans="20:54"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</row>
    <row r="51" spans="20:54"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</row>
    <row r="52" spans="20:54"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</row>
    <row r="53" spans="20:54"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</row>
    <row r="54" spans="20:54"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</row>
    <row r="55" spans="20:54"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</row>
    <row r="56" spans="20:54"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</row>
    <row r="57" spans="20:54"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</row>
    <row r="58" spans="20:54"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</row>
    <row r="59" spans="20:54"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</row>
    <row r="60" spans="20:54"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</row>
    <row r="61" spans="20:54"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</row>
    <row r="62" spans="20:54"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</row>
    <row r="63" spans="20:54"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</row>
    <row r="64" spans="20:54"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</row>
    <row r="65" spans="20:54"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</row>
    <row r="66" spans="20:54"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</row>
    <row r="67" spans="20:54"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</row>
    <row r="68" spans="20:54"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</row>
    <row r="69" spans="20:54"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</row>
    <row r="70" spans="20:54"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</row>
    <row r="71" spans="20:54"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</row>
    <row r="72" spans="20:54"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</row>
    <row r="73" spans="20:54"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</row>
    <row r="74" spans="20:54"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</row>
    <row r="75" spans="20:54"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</row>
    <row r="76" spans="20:54"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</row>
    <row r="77" spans="20:54"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</row>
    <row r="78" spans="20:54"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</row>
    <row r="79" spans="20:54"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</row>
    <row r="80" spans="20:54"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</row>
    <row r="81" spans="20:54"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</row>
    <row r="82" spans="20:54"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</row>
    <row r="83" spans="20:54"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</row>
    <row r="84" spans="20:54"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</row>
    <row r="85" spans="20:54"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</row>
    <row r="86" spans="20:54"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</row>
    <row r="87" spans="20:54"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</row>
    <row r="88" spans="20:54"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</row>
    <row r="89" spans="20:54"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</row>
    <row r="90" spans="20:54"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</row>
    <row r="91" spans="20:54"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</row>
    <row r="92" spans="20:54"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</row>
    <row r="93" spans="20:54"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</row>
    <row r="94" spans="20:54"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</row>
    <row r="95" spans="20:54"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</row>
    <row r="96" spans="20:54"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</row>
    <row r="97" spans="20:54"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</row>
    <row r="98" spans="20:54"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</row>
    <row r="99" spans="20:54"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</row>
    <row r="100" spans="20:54"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</row>
  </sheetData>
  <pageMargins left="0.7" right="0.7" top="0.75" bottom="0.75" header="0.3" footer="0.3"/>
  <pageSetup paperSize="9" orientation="portrait" r:id="rId1"/>
  <headerFooter>
    <oddFooter>&amp;L&amp;1#&amp;"Calibri"&amp;10&amp;K000000Classification: Public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"/>
  <sheetViews>
    <sheetView workbookViewId="0">
      <selection activeCell="A3" sqref="A3"/>
    </sheetView>
  </sheetViews>
  <sheetFormatPr defaultColWidth="11.42578125" defaultRowHeight="15"/>
  <cols>
    <col min="1" max="1" width="58.42578125" customWidth="1"/>
    <col min="2" max="2" width="13.140625" customWidth="1"/>
    <col min="3" max="3" width="17" customWidth="1"/>
    <col min="4" max="4" width="17.5703125" customWidth="1"/>
    <col min="5" max="5" width="10.42578125" customWidth="1"/>
    <col min="6" max="6" width="7.5703125" customWidth="1"/>
    <col min="7" max="7" width="6.85546875" customWidth="1"/>
    <col min="8" max="8" width="12.140625" customWidth="1"/>
    <col min="9" max="9" width="11.42578125" customWidth="1"/>
    <col min="10" max="11" width="11.140625" customWidth="1"/>
    <col min="12" max="12" width="12" customWidth="1"/>
    <col min="13" max="13" width="8" customWidth="1"/>
    <col min="14" max="14" width="22.42578125" customWidth="1"/>
  </cols>
  <sheetData>
    <row r="1" spans="1:14">
      <c r="A1" s="26" t="s">
        <v>35</v>
      </c>
      <c r="B1" s="26" t="s">
        <v>36</v>
      </c>
      <c r="C1" s="26" t="s">
        <v>9</v>
      </c>
      <c r="D1" s="26" t="s">
        <v>37</v>
      </c>
      <c r="E1" s="26" t="s">
        <v>38</v>
      </c>
      <c r="F1" s="26" t="s">
        <v>11</v>
      </c>
      <c r="G1" s="26" t="s">
        <v>39</v>
      </c>
      <c r="H1" s="26" t="s">
        <v>40</v>
      </c>
      <c r="I1" s="26" t="s">
        <v>18</v>
      </c>
      <c r="J1" s="26" t="s">
        <v>19</v>
      </c>
      <c r="K1" s="26" t="s">
        <v>20</v>
      </c>
      <c r="L1" s="26" t="s">
        <v>41</v>
      </c>
      <c r="M1" s="26" t="s">
        <v>42</v>
      </c>
      <c r="N1" s="26" t="s">
        <v>43</v>
      </c>
    </row>
  </sheetData>
  <pageMargins left="0.7" right="0.7" top="0.75" bottom="0.75" header="0.3" footer="0.3"/>
  <pageSetup orientation="portrait"/>
  <headerFooter>
    <oddFooter>&amp;L&amp;1#&amp;"Calibri"&amp;10&amp;K000000Classification: Public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U45"/>
  <sheetViews>
    <sheetView showGridLines="0" topLeftCell="A2" zoomScale="80" zoomScaleNormal="80" workbookViewId="0">
      <selection activeCell="C16" sqref="C16"/>
    </sheetView>
  </sheetViews>
  <sheetFormatPr defaultColWidth="9" defaultRowHeight="15"/>
  <cols>
    <col min="1" max="1" width="4.85546875" customWidth="1"/>
    <col min="2" max="2" width="15.140625" bestFit="1" customWidth="1"/>
    <col min="3" max="3" width="12.7109375" bestFit="1" customWidth="1"/>
    <col min="4" max="4" width="11.42578125" bestFit="1" customWidth="1"/>
    <col min="5" max="5" width="12" bestFit="1" customWidth="1"/>
    <col min="6" max="6" width="11.85546875" bestFit="1" customWidth="1"/>
    <col min="7" max="7" width="22" bestFit="1" customWidth="1"/>
    <col min="8" max="8" width="4.140625" customWidth="1"/>
    <col min="9" max="9" width="15.140625" bestFit="1" customWidth="1"/>
    <col min="10" max="10" width="20.140625" bestFit="1" customWidth="1"/>
    <col min="11" max="11" width="11.42578125" bestFit="1" customWidth="1"/>
    <col min="12" max="12" width="12" bestFit="1" customWidth="1"/>
    <col min="13" max="13" width="11.85546875" bestFit="1" customWidth="1"/>
    <col min="14" max="14" width="22" bestFit="1" customWidth="1"/>
    <col min="15" max="15" width="3.42578125" customWidth="1"/>
    <col min="16" max="16" width="15.140625" bestFit="1" customWidth="1"/>
    <col min="17" max="17" width="12.7109375" bestFit="1" customWidth="1"/>
    <col min="18" max="19" width="13" bestFit="1" customWidth="1"/>
    <col min="20" max="20" width="3.5703125" customWidth="1"/>
    <col min="21" max="21" width="18.85546875" customWidth="1"/>
    <col min="22" max="22" width="4.140625" customWidth="1"/>
    <col min="23" max="23" width="4.42578125" customWidth="1"/>
  </cols>
  <sheetData>
    <row r="2" spans="2:21">
      <c r="B2" s="10" t="s">
        <v>44</v>
      </c>
      <c r="C2" s="11"/>
      <c r="D2" s="11"/>
      <c r="E2" s="11"/>
      <c r="F2" s="11"/>
      <c r="G2" s="12"/>
      <c r="I2" s="10" t="s">
        <v>45</v>
      </c>
      <c r="J2" s="11"/>
      <c r="K2" s="11"/>
      <c r="L2" s="11"/>
      <c r="M2" s="11"/>
      <c r="N2" s="12"/>
      <c r="P2" s="10" t="s">
        <v>46</v>
      </c>
      <c r="Q2" s="11"/>
      <c r="R2" s="11"/>
      <c r="S2" s="11"/>
      <c r="T2" s="11"/>
      <c r="U2" s="12"/>
    </row>
    <row r="3" spans="2:21">
      <c r="B3" s="47" t="s">
        <v>47</v>
      </c>
      <c r="C3" s="48"/>
      <c r="D3" s="48"/>
      <c r="E3" s="48"/>
      <c r="F3" s="48"/>
      <c r="G3" s="49"/>
      <c r="I3" s="47" t="s">
        <v>47</v>
      </c>
      <c r="J3" s="48"/>
      <c r="K3" s="48"/>
      <c r="L3" s="48"/>
      <c r="M3" s="48"/>
      <c r="N3" s="49"/>
      <c r="P3" s="47" t="s">
        <v>47</v>
      </c>
      <c r="Q3" s="48"/>
      <c r="R3" s="48"/>
      <c r="S3" s="48"/>
      <c r="T3" s="48"/>
      <c r="U3" s="49"/>
    </row>
    <row r="4" spans="2:21">
      <c r="B4" s="47" t="s">
        <v>48</v>
      </c>
      <c r="C4" s="48"/>
      <c r="D4" s="48"/>
      <c r="E4" s="48"/>
      <c r="F4" s="48"/>
      <c r="G4" s="49"/>
      <c r="I4" s="47" t="s">
        <v>48</v>
      </c>
      <c r="J4" s="48"/>
      <c r="K4" s="48"/>
      <c r="L4" s="48"/>
      <c r="M4" s="48"/>
      <c r="N4" s="49"/>
      <c r="P4" s="47" t="s">
        <v>48</v>
      </c>
      <c r="Q4" s="48"/>
      <c r="R4" s="48"/>
      <c r="S4" s="48"/>
      <c r="T4" s="48"/>
      <c r="U4" s="49"/>
    </row>
    <row r="5" spans="2:21">
      <c r="B5" s="47" t="s">
        <v>49</v>
      </c>
      <c r="C5" s="48"/>
      <c r="D5" s="48"/>
      <c r="E5" s="48"/>
      <c r="F5" s="48"/>
      <c r="G5" s="49"/>
      <c r="I5" s="50" t="s">
        <v>50</v>
      </c>
      <c r="J5" s="51"/>
      <c r="K5" s="51"/>
      <c r="L5" s="51"/>
      <c r="M5" s="51"/>
      <c r="N5" s="52"/>
      <c r="P5" s="47"/>
      <c r="Q5" s="48"/>
      <c r="R5" s="48"/>
      <c r="S5" s="48"/>
      <c r="T5" s="48"/>
      <c r="U5" s="49"/>
    </row>
    <row r="6" spans="2:21">
      <c r="B6" s="44" t="s">
        <v>51</v>
      </c>
      <c r="C6" s="45"/>
      <c r="D6" s="45"/>
      <c r="E6" s="45"/>
      <c r="F6" s="45"/>
      <c r="G6" s="46"/>
      <c r="I6" s="44" t="s">
        <v>52</v>
      </c>
      <c r="J6" s="45"/>
      <c r="K6" s="45"/>
      <c r="L6" s="45"/>
      <c r="M6" s="45"/>
      <c r="N6" s="46"/>
      <c r="P6" s="44"/>
      <c r="Q6" s="45"/>
      <c r="R6" s="45"/>
      <c r="S6" s="45"/>
      <c r="T6" s="45"/>
      <c r="U6" s="46"/>
    </row>
    <row r="7" spans="2:21">
      <c r="B7" s="44"/>
      <c r="C7" s="45"/>
      <c r="D7" s="45"/>
      <c r="E7" s="45"/>
      <c r="F7" s="45"/>
      <c r="G7" s="46"/>
      <c r="I7" s="44"/>
      <c r="J7" s="45"/>
      <c r="K7" s="45"/>
      <c r="L7" s="45"/>
      <c r="M7" s="45"/>
      <c r="N7" s="46"/>
      <c r="P7" s="44"/>
      <c r="Q7" s="45"/>
      <c r="R7" s="45"/>
      <c r="S7" s="45"/>
      <c r="T7" s="45"/>
      <c r="U7" s="46"/>
    </row>
    <row r="8" spans="2:21" ht="14.45" customHeight="1">
      <c r="B8" s="13"/>
      <c r="C8" s="14"/>
      <c r="D8" s="14"/>
      <c r="E8" s="14"/>
      <c r="F8" s="14"/>
      <c r="G8" s="15"/>
      <c r="I8" s="44" t="s">
        <v>53</v>
      </c>
      <c r="J8" s="45"/>
      <c r="K8" s="45"/>
      <c r="L8" s="45"/>
      <c r="M8" s="45"/>
      <c r="N8" s="46"/>
      <c r="P8" s="13"/>
      <c r="Q8" s="14"/>
      <c r="R8" s="14"/>
      <c r="S8" s="14"/>
      <c r="T8" s="14"/>
      <c r="U8" s="15"/>
    </row>
    <row r="9" spans="2:21">
      <c r="B9" s="16"/>
      <c r="C9" s="17"/>
      <c r="D9" s="17"/>
      <c r="E9" s="17"/>
      <c r="F9" s="17"/>
      <c r="G9" s="18"/>
      <c r="I9" s="23"/>
      <c r="J9" s="24"/>
      <c r="K9" s="24"/>
      <c r="L9" s="24"/>
      <c r="M9" s="24"/>
      <c r="N9" s="25"/>
      <c r="P9" s="16"/>
      <c r="Q9" s="17"/>
      <c r="R9" s="17"/>
      <c r="S9" s="17"/>
      <c r="T9" s="17"/>
      <c r="U9" s="18"/>
    </row>
    <row r="11" spans="2:21" ht="18.75">
      <c r="B11" s="53" t="s">
        <v>54</v>
      </c>
      <c r="C11" s="53"/>
      <c r="D11" s="53"/>
      <c r="E11" s="53"/>
      <c r="F11" s="53"/>
      <c r="G11" s="53"/>
      <c r="I11" s="53" t="s">
        <v>55</v>
      </c>
      <c r="J11" s="53"/>
      <c r="K11" s="53"/>
      <c r="L11" s="53"/>
      <c r="M11" s="53"/>
      <c r="N11" s="53"/>
      <c r="P11" s="53" t="s">
        <v>56</v>
      </c>
      <c r="Q11" s="53"/>
      <c r="R11" s="53"/>
      <c r="S11" s="53"/>
      <c r="T11" s="53"/>
      <c r="U11" s="53"/>
    </row>
    <row r="12" spans="2:21">
      <c r="B12" s="36" t="s">
        <v>11</v>
      </c>
      <c r="C12" t="s">
        <v>64</v>
      </c>
      <c r="I12" s="36" t="s">
        <v>11</v>
      </c>
      <c r="J12" t="s">
        <v>64</v>
      </c>
      <c r="P12" s="36" t="s">
        <v>11</v>
      </c>
      <c r="Q12" t="s">
        <v>132</v>
      </c>
    </row>
    <row r="13" spans="2:21">
      <c r="B13" s="36" t="s">
        <v>10</v>
      </c>
      <c r="C13" t="s">
        <v>64</v>
      </c>
      <c r="I13" s="36" t="s">
        <v>10</v>
      </c>
      <c r="J13" t="s">
        <v>57</v>
      </c>
      <c r="P13" s="36" t="s">
        <v>39</v>
      </c>
      <c r="Q13" t="s">
        <v>132</v>
      </c>
    </row>
    <row r="14" spans="2:21">
      <c r="I14" s="36" t="s">
        <v>12</v>
      </c>
      <c r="J14" t="s">
        <v>57</v>
      </c>
    </row>
    <row r="15" spans="2:21">
      <c r="B15" s="36" t="s">
        <v>59</v>
      </c>
      <c r="C15" t="s">
        <v>61</v>
      </c>
      <c r="Q15" s="36" t="s">
        <v>58</v>
      </c>
    </row>
    <row r="16" spans="2:21">
      <c r="B16" s="8" t="s">
        <v>64</v>
      </c>
      <c r="C16" s="9"/>
      <c r="I16" s="36" t="s">
        <v>59</v>
      </c>
      <c r="J16" t="s">
        <v>61</v>
      </c>
      <c r="P16" s="36" t="s">
        <v>59</v>
      </c>
      <c r="Q16" t="s">
        <v>61</v>
      </c>
      <c r="R16" t="s">
        <v>62</v>
      </c>
      <c r="S16" t="s">
        <v>63</v>
      </c>
    </row>
    <row r="17" spans="2:19">
      <c r="B17" s="8" t="s">
        <v>65</v>
      </c>
      <c r="C17" s="9"/>
      <c r="I17" s="8" t="s">
        <v>65</v>
      </c>
      <c r="J17" s="9"/>
      <c r="P17" s="8" t="s">
        <v>64</v>
      </c>
      <c r="Q17" s="9"/>
      <c r="R17" s="9"/>
      <c r="S17" s="9"/>
    </row>
    <row r="18" spans="2:19">
      <c r="P18" s="8" t="s">
        <v>65</v>
      </c>
      <c r="Q18" s="9"/>
      <c r="R18" s="9"/>
      <c r="S18" s="9"/>
    </row>
    <row r="25" spans="2:19">
      <c r="B25" s="8"/>
    </row>
    <row r="26" spans="2:19">
      <c r="B26" s="19"/>
      <c r="C26" s="20"/>
      <c r="D26" s="20"/>
      <c r="E26" s="20"/>
      <c r="F26" s="20"/>
      <c r="G26" s="20"/>
    </row>
    <row r="41" spans="2:7" ht="14.45" customHeight="1"/>
    <row r="44" spans="2:7">
      <c r="C44" s="21"/>
      <c r="D44" s="21"/>
      <c r="E44" s="21"/>
      <c r="F44" s="22"/>
      <c r="G44" s="9"/>
    </row>
    <row r="45" spans="2:7">
      <c r="B45" s="43"/>
      <c r="C45" s="43"/>
      <c r="D45" s="43"/>
      <c r="E45" s="43"/>
      <c r="F45" s="43"/>
      <c r="G45" s="43"/>
    </row>
  </sheetData>
  <mergeCells count="17">
    <mergeCell ref="B3:G3"/>
    <mergeCell ref="I3:N3"/>
    <mergeCell ref="P3:U3"/>
    <mergeCell ref="B4:G4"/>
    <mergeCell ref="I4:N4"/>
    <mergeCell ref="P4:U4"/>
    <mergeCell ref="B45:G45"/>
    <mergeCell ref="I6:N7"/>
    <mergeCell ref="B6:G7"/>
    <mergeCell ref="P6:U7"/>
    <mergeCell ref="B5:G5"/>
    <mergeCell ref="I5:N5"/>
    <mergeCell ref="P5:U5"/>
    <mergeCell ref="I8:N8"/>
    <mergeCell ref="B11:G11"/>
    <mergeCell ref="I11:N11"/>
    <mergeCell ref="P11:U11"/>
  </mergeCells>
  <pageMargins left="0.7" right="0.7" top="0.75" bottom="0.75" header="0.3" footer="0.3"/>
  <pageSetup orientation="portrait"/>
  <headerFooter>
    <oddFooter>&amp;L&amp;1#&amp;"Calibri"&amp;10&amp;K000000Classification: Public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109"/>
  <sheetViews>
    <sheetView topLeftCell="A4" zoomScale="85" zoomScaleNormal="85" workbookViewId="0">
      <selection activeCell="A11" sqref="A11"/>
    </sheetView>
  </sheetViews>
  <sheetFormatPr defaultColWidth="9" defaultRowHeight="15"/>
  <cols>
    <col min="1" max="1" width="19.85546875" customWidth="1"/>
    <col min="2" max="2" width="17.42578125" customWidth="1"/>
    <col min="3" max="3" width="35" customWidth="1"/>
    <col min="4" max="4" width="8" bestFit="1" customWidth="1"/>
    <col min="5" max="7" width="11.85546875" bestFit="1" customWidth="1"/>
    <col min="8" max="9" width="12.28515625" bestFit="1" customWidth="1"/>
    <col min="10" max="10" width="22.42578125" bestFit="1" customWidth="1"/>
    <col min="11" max="11" width="21.42578125" customWidth="1"/>
    <col min="12" max="12" width="5.5703125" customWidth="1"/>
    <col min="13" max="13" width="15.140625" customWidth="1"/>
    <col min="14" max="14" width="19" bestFit="1" customWidth="1"/>
    <col min="15" max="15" width="5.85546875" bestFit="1" customWidth="1"/>
    <col min="16" max="16" width="11.85546875" bestFit="1" customWidth="1"/>
    <col min="17" max="18" width="12.28515625" bestFit="1" customWidth="1"/>
    <col min="19" max="19" width="5.85546875" customWidth="1"/>
    <col min="20" max="21" width="5" customWidth="1"/>
    <col min="22" max="937" width="15.5703125" customWidth="1"/>
    <col min="938" max="938" width="10.85546875" customWidth="1"/>
  </cols>
  <sheetData>
    <row r="1" spans="1:18" ht="18.75">
      <c r="A1" s="54" t="s">
        <v>73</v>
      </c>
      <c r="B1" s="55"/>
      <c r="C1" s="55"/>
      <c r="D1" s="55"/>
      <c r="E1" s="55"/>
      <c r="F1" s="55"/>
      <c r="G1" s="55"/>
      <c r="H1" s="55"/>
      <c r="I1" s="55"/>
      <c r="J1" s="55"/>
      <c r="K1" s="56"/>
      <c r="M1" s="54" t="s">
        <v>74</v>
      </c>
      <c r="N1" s="55"/>
      <c r="O1" s="55"/>
      <c r="P1" s="55"/>
      <c r="Q1" s="55"/>
      <c r="R1" s="55"/>
    </row>
    <row r="2" spans="1:18">
      <c r="A2" s="36" t="s">
        <v>11</v>
      </c>
      <c r="B2" t="s">
        <v>64</v>
      </c>
      <c r="M2" s="36" t="s">
        <v>11</v>
      </c>
      <c r="N2" t="s">
        <v>132</v>
      </c>
    </row>
    <row r="3" spans="1:18">
      <c r="A3" s="36" t="s">
        <v>12</v>
      </c>
      <c r="B3" t="s">
        <v>64</v>
      </c>
      <c r="M3" s="36" t="s">
        <v>12</v>
      </c>
      <c r="N3" t="s">
        <v>57</v>
      </c>
    </row>
    <row r="4" spans="1:18">
      <c r="A4" s="36" t="s">
        <v>10</v>
      </c>
      <c r="B4" t="s">
        <v>64</v>
      </c>
      <c r="M4" s="36" t="s">
        <v>10</v>
      </c>
      <c r="N4" t="s">
        <v>64</v>
      </c>
    </row>
    <row r="6" spans="1:18">
      <c r="A6" s="36" t="s">
        <v>6</v>
      </c>
      <c r="B6" s="36" t="s">
        <v>8</v>
      </c>
      <c r="C6" s="36" t="s">
        <v>9</v>
      </c>
      <c r="D6" s="36" t="s">
        <v>17</v>
      </c>
      <c r="E6" t="s">
        <v>61</v>
      </c>
      <c r="M6" s="36" t="s">
        <v>61</v>
      </c>
    </row>
    <row r="7" spans="1:18">
      <c r="A7" t="s">
        <v>64</v>
      </c>
      <c r="B7" t="s">
        <v>64</v>
      </c>
      <c r="C7" t="s">
        <v>64</v>
      </c>
      <c r="D7" t="s">
        <v>64</v>
      </c>
      <c r="E7" s="9"/>
      <c r="M7" s="36" t="s">
        <v>14</v>
      </c>
      <c r="N7" s="36" t="s">
        <v>17</v>
      </c>
      <c r="O7" t="s">
        <v>41</v>
      </c>
    </row>
    <row r="8" spans="1:18">
      <c r="M8" t="s">
        <v>65</v>
      </c>
      <c r="O8" s="9"/>
    </row>
    <row r="109" spans="18:18">
      <c r="R109" s="9">
        <f>SUM(O109:Q109)</f>
        <v>0</v>
      </c>
    </row>
  </sheetData>
  <mergeCells count="2">
    <mergeCell ref="A1:K1"/>
    <mergeCell ref="M1:R1"/>
  </mergeCells>
  <pageMargins left="0.7" right="0.7" top="0.75" bottom="0.75" header="0.3" footer="0.3"/>
  <pageSetup paperSize="9" orientation="portrait"/>
  <headerFooter>
    <oddFooter>&amp;L&amp;1#&amp;"Calibri"&amp;10&amp;K000000Classification: Public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K11"/>
  <sheetViews>
    <sheetView zoomScale="175" zoomScaleNormal="175" workbookViewId="0">
      <selection activeCell="E10" sqref="E10"/>
    </sheetView>
  </sheetViews>
  <sheetFormatPr defaultColWidth="9" defaultRowHeight="15"/>
  <cols>
    <col min="1" max="1" width="3.5703125" customWidth="1"/>
    <col min="2" max="2" width="13.140625" bestFit="1" customWidth="1"/>
    <col min="3" max="3" width="9.5703125" bestFit="1" customWidth="1"/>
    <col min="4" max="4" width="10.7109375" bestFit="1" customWidth="1"/>
    <col min="8" max="8" width="11.42578125" customWidth="1"/>
    <col min="9" max="9" width="12" customWidth="1"/>
    <col min="10" max="10" width="11.85546875" customWidth="1"/>
    <col min="11" max="11" width="10.5703125" customWidth="1"/>
  </cols>
  <sheetData>
    <row r="2" spans="2:11" ht="18.75">
      <c r="B2" s="54" t="s">
        <v>75</v>
      </c>
      <c r="C2" s="55"/>
    </row>
    <row r="3" spans="2:11">
      <c r="B3" s="36" t="s">
        <v>11</v>
      </c>
      <c r="C3" t="s">
        <v>132</v>
      </c>
    </row>
    <row r="4" spans="2:11">
      <c r="B4" s="36" t="s">
        <v>10</v>
      </c>
      <c r="C4" t="s">
        <v>64</v>
      </c>
    </row>
    <row r="6" spans="2:11">
      <c r="B6" s="36" t="s">
        <v>59</v>
      </c>
      <c r="F6" s="57"/>
      <c r="G6" s="57"/>
      <c r="H6" s="57"/>
      <c r="I6" s="57"/>
      <c r="J6" s="57"/>
      <c r="K6" s="57"/>
    </row>
    <row r="7" spans="2:11">
      <c r="B7" s="8" t="s">
        <v>64</v>
      </c>
    </row>
    <row r="8" spans="2:11">
      <c r="B8" s="8" t="s">
        <v>65</v>
      </c>
    </row>
    <row r="9" spans="2:11">
      <c r="K9" s="9"/>
    </row>
    <row r="10" spans="2:11">
      <c r="K10" s="9"/>
    </row>
    <row r="11" spans="2:11">
      <c r="H11" s="9"/>
      <c r="I11" s="9"/>
      <c r="J11" s="9"/>
      <c r="K11" s="9"/>
    </row>
  </sheetData>
  <mergeCells count="2">
    <mergeCell ref="B2:C2"/>
    <mergeCell ref="F6:K6"/>
  </mergeCells>
  <pageMargins left="0.7" right="0.7" top="0.75" bottom="0.75" header="0.3" footer="0.3"/>
  <pageSetup paperSize="9" orientation="portrait"/>
  <headerFooter>
    <oddFooter>&amp;L&amp;1#&amp;"Calibri"&amp;10&amp;K000000Classification: Public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6"/>
  <sheetViews>
    <sheetView zoomScale="124" zoomScaleNormal="124" workbookViewId="0"/>
  </sheetViews>
  <sheetFormatPr defaultColWidth="20" defaultRowHeight="15"/>
  <cols>
    <col min="7" max="7" width="20" style="1"/>
  </cols>
  <sheetData>
    <row r="1" spans="1:7">
      <c r="A1" s="2" t="s">
        <v>14</v>
      </c>
      <c r="B1" s="2" t="s">
        <v>17</v>
      </c>
      <c r="C1" s="2" t="s">
        <v>60</v>
      </c>
      <c r="D1" s="2" t="s">
        <v>61</v>
      </c>
      <c r="E1" s="2" t="s">
        <v>62</v>
      </c>
      <c r="F1" s="2" t="s">
        <v>63</v>
      </c>
      <c r="G1" s="3" t="s">
        <v>76</v>
      </c>
    </row>
    <row r="2" spans="1:7">
      <c r="A2" s="4"/>
      <c r="B2" s="4"/>
      <c r="C2" s="5"/>
      <c r="D2" s="5"/>
      <c r="E2" s="4"/>
      <c r="F2" s="4"/>
      <c r="G2" s="6"/>
    </row>
    <row r="3" spans="1:7">
      <c r="A3" s="4"/>
      <c r="B3" s="4"/>
      <c r="C3" s="5"/>
      <c r="D3" s="5"/>
      <c r="E3" s="4"/>
      <c r="F3" s="4"/>
      <c r="G3" s="6"/>
    </row>
    <row r="4" spans="1:7">
      <c r="A4" s="4"/>
      <c r="B4" s="4"/>
      <c r="C4" s="5"/>
      <c r="D4" s="5"/>
      <c r="E4" s="4"/>
      <c r="F4" s="4"/>
      <c r="G4" s="6"/>
    </row>
    <row r="5" spans="1:7">
      <c r="A5" s="4"/>
      <c r="B5" s="4"/>
      <c r="C5" s="5"/>
      <c r="D5" s="5"/>
      <c r="E5" s="4"/>
      <c r="F5" s="4"/>
      <c r="G5" s="6"/>
    </row>
    <row r="6" spans="1:7">
      <c r="A6" s="4"/>
      <c r="B6" s="4"/>
      <c r="C6" s="5"/>
      <c r="D6" s="5"/>
      <c r="E6" s="4"/>
      <c r="F6" s="4"/>
      <c r="G6" s="6"/>
    </row>
    <row r="7" spans="1:7">
      <c r="A7" s="4"/>
      <c r="B7" s="4"/>
      <c r="C7" s="5"/>
      <c r="D7" s="5"/>
      <c r="E7" s="4"/>
      <c r="F7" s="4"/>
      <c r="G7" s="6"/>
    </row>
    <row r="8" spans="1:7">
      <c r="A8" s="4"/>
      <c r="B8" s="4"/>
      <c r="C8" s="5"/>
      <c r="D8" s="5"/>
      <c r="E8" s="4"/>
      <c r="F8" s="4"/>
      <c r="G8" s="6"/>
    </row>
    <row r="9" spans="1:7">
      <c r="A9" s="4"/>
      <c r="B9" s="4"/>
      <c r="C9" s="5"/>
      <c r="D9" s="5"/>
      <c r="E9" s="4"/>
      <c r="F9" s="4"/>
      <c r="G9" s="6"/>
    </row>
    <row r="10" spans="1:7">
      <c r="A10" s="4"/>
      <c r="B10" s="4"/>
      <c r="C10" s="5"/>
      <c r="D10" s="5"/>
      <c r="E10" s="4"/>
      <c r="F10" s="4"/>
      <c r="G10" s="6"/>
    </row>
    <row r="11" spans="1:7">
      <c r="A11" s="4"/>
      <c r="B11" s="4"/>
      <c r="C11" s="5"/>
      <c r="D11" s="5"/>
      <c r="E11" s="4"/>
      <c r="F11" s="4"/>
      <c r="G11" s="6"/>
    </row>
    <row r="12" spans="1:7">
      <c r="A12" s="4"/>
      <c r="B12" s="4"/>
      <c r="C12" s="5"/>
      <c r="D12" s="5"/>
      <c r="E12" s="4"/>
      <c r="F12" s="4"/>
      <c r="G12" s="6"/>
    </row>
    <row r="13" spans="1:7">
      <c r="A13" s="4"/>
      <c r="B13" s="4"/>
      <c r="C13" s="5"/>
      <c r="D13" s="5"/>
      <c r="E13" s="4"/>
      <c r="F13" s="4"/>
      <c r="G13" s="6"/>
    </row>
    <row r="14" spans="1:7">
      <c r="A14" s="4"/>
      <c r="B14" s="4"/>
      <c r="C14" s="5"/>
      <c r="D14" s="5"/>
      <c r="E14" s="4"/>
      <c r="F14" s="4"/>
      <c r="G14" s="6"/>
    </row>
    <row r="15" spans="1:7">
      <c r="A15" s="4"/>
      <c r="B15" s="4"/>
      <c r="C15" s="5"/>
      <c r="D15" s="5"/>
      <c r="E15" s="4"/>
      <c r="F15" s="4"/>
      <c r="G15" s="6"/>
    </row>
    <row r="16" spans="1:7">
      <c r="A16" s="4"/>
      <c r="B16" s="4"/>
      <c r="C16" s="5"/>
      <c r="D16" s="5"/>
      <c r="E16" s="4"/>
      <c r="F16" s="4"/>
      <c r="G16" s="6"/>
    </row>
    <row r="17" spans="1:7">
      <c r="A17" s="4"/>
      <c r="B17" s="4"/>
      <c r="C17" s="5"/>
      <c r="D17" s="5"/>
      <c r="E17" s="4"/>
      <c r="F17" s="4"/>
      <c r="G17" s="6"/>
    </row>
    <row r="18" spans="1:7">
      <c r="A18" s="4"/>
      <c r="B18" s="4"/>
      <c r="C18" s="5"/>
      <c r="D18" s="5"/>
      <c r="E18" s="4"/>
      <c r="F18" s="4"/>
      <c r="G18" s="6"/>
    </row>
    <row r="19" spans="1:7">
      <c r="A19" s="4"/>
      <c r="B19" s="4"/>
      <c r="C19" s="5"/>
      <c r="D19" s="5"/>
      <c r="E19" s="4"/>
      <c r="F19" s="4"/>
      <c r="G19" s="6"/>
    </row>
    <row r="20" spans="1:7">
      <c r="A20" s="4"/>
      <c r="B20" s="4"/>
      <c r="C20" s="5"/>
      <c r="D20" s="5"/>
      <c r="E20" s="4"/>
      <c r="F20" s="4"/>
      <c r="G20" s="6"/>
    </row>
    <row r="21" spans="1:7">
      <c r="A21" s="4"/>
      <c r="B21" s="4"/>
      <c r="C21" s="5"/>
      <c r="D21" s="5"/>
      <c r="E21" s="4"/>
      <c r="F21" s="4"/>
      <c r="G21" s="6"/>
    </row>
    <row r="22" spans="1:7">
      <c r="A22" s="4"/>
      <c r="B22" s="4"/>
      <c r="C22" s="5"/>
      <c r="D22" s="5"/>
      <c r="E22" s="4"/>
      <c r="F22" s="4"/>
      <c r="G22" s="6"/>
    </row>
    <row r="23" spans="1:7">
      <c r="A23" s="4"/>
      <c r="B23" s="4"/>
      <c r="C23" s="5"/>
      <c r="D23" s="5"/>
      <c r="E23" s="4"/>
      <c r="F23" s="4"/>
      <c r="G23" s="6"/>
    </row>
    <row r="24" spans="1:7">
      <c r="A24" s="4"/>
      <c r="B24" s="4"/>
      <c r="C24" s="5"/>
      <c r="D24" s="5"/>
      <c r="E24" s="4"/>
      <c r="F24" s="4"/>
      <c r="G24" s="6"/>
    </row>
    <row r="25" spans="1:7">
      <c r="A25" s="4"/>
      <c r="B25" s="4"/>
      <c r="C25" s="5"/>
      <c r="D25" s="5"/>
      <c r="E25" s="4"/>
      <c r="F25" s="4"/>
      <c r="G25" s="6"/>
    </row>
    <row r="26" spans="1:7">
      <c r="A26" s="4"/>
      <c r="B26" s="4"/>
      <c r="C26" s="5"/>
      <c r="D26" s="5"/>
      <c r="E26" s="4"/>
      <c r="F26" s="4"/>
      <c r="G26" s="6"/>
    </row>
    <row r="27" spans="1:7">
      <c r="A27" s="4"/>
      <c r="B27" s="4"/>
      <c r="C27" s="5"/>
      <c r="D27" s="5"/>
      <c r="E27" s="4"/>
      <c r="F27" s="4"/>
      <c r="G27" s="6"/>
    </row>
    <row r="28" spans="1:7">
      <c r="A28" s="4"/>
      <c r="B28" s="4"/>
      <c r="C28" s="5"/>
      <c r="D28" s="5"/>
      <c r="E28" s="4"/>
      <c r="F28" s="4"/>
      <c r="G28" s="6"/>
    </row>
    <row r="29" spans="1:7">
      <c r="A29" s="4"/>
      <c r="B29" s="4"/>
      <c r="C29" s="5"/>
      <c r="D29" s="5"/>
      <c r="E29" s="4"/>
      <c r="F29" s="4"/>
      <c r="G29" s="6"/>
    </row>
    <row r="30" spans="1:7">
      <c r="A30" s="4"/>
      <c r="B30" s="4"/>
      <c r="C30" s="5"/>
      <c r="D30" s="5"/>
      <c r="E30" s="4"/>
      <c r="F30" s="4"/>
      <c r="G30" s="6"/>
    </row>
    <row r="31" spans="1:7">
      <c r="A31" s="4"/>
      <c r="B31" s="4"/>
      <c r="C31" s="5"/>
      <c r="D31" s="5"/>
      <c r="E31" s="4"/>
      <c r="F31" s="4"/>
      <c r="G31" s="6"/>
    </row>
    <row r="32" spans="1:7">
      <c r="A32" s="4"/>
      <c r="B32" s="4"/>
      <c r="C32" s="5"/>
      <c r="D32" s="5"/>
      <c r="E32" s="4"/>
      <c r="F32" s="4"/>
      <c r="G32" s="6"/>
    </row>
    <row r="33" spans="1:7">
      <c r="A33" s="4"/>
      <c r="B33" s="4"/>
      <c r="C33" s="5"/>
      <c r="D33" s="5"/>
      <c r="E33" s="4"/>
      <c r="F33" s="4"/>
      <c r="G33" s="6"/>
    </row>
    <row r="34" spans="1:7">
      <c r="A34" s="4"/>
      <c r="B34" s="4"/>
      <c r="C34" s="5"/>
      <c r="D34" s="5"/>
      <c r="E34" s="4"/>
      <c r="F34" s="4"/>
      <c r="G34" s="6"/>
    </row>
    <row r="35" spans="1:7">
      <c r="A35" s="4"/>
      <c r="B35" s="4"/>
      <c r="C35" s="5"/>
      <c r="D35" s="5"/>
      <c r="E35" s="4"/>
      <c r="F35" s="4"/>
      <c r="G35" s="6"/>
    </row>
    <row r="36" spans="1:7">
      <c r="C36" s="7"/>
      <c r="D36" s="7"/>
    </row>
  </sheetData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38"/>
  <sheetViews>
    <sheetView workbookViewId="0">
      <selection activeCell="D13" sqref="D13"/>
    </sheetView>
  </sheetViews>
  <sheetFormatPr defaultColWidth="9" defaultRowHeight="15"/>
  <cols>
    <col min="1" max="1" width="34.140625" customWidth="1"/>
    <col min="2" max="2" width="36.85546875" customWidth="1"/>
  </cols>
  <sheetData>
    <row r="1" spans="1:2">
      <c r="A1" t="s">
        <v>26</v>
      </c>
      <c r="B1" t="s">
        <v>77</v>
      </c>
    </row>
    <row r="2" spans="1:2">
      <c r="A2" t="s">
        <v>78</v>
      </c>
      <c r="B2" t="s">
        <v>79</v>
      </c>
    </row>
    <row r="3" spans="1:2">
      <c r="A3" t="s">
        <v>80</v>
      </c>
      <c r="B3" t="s">
        <v>81</v>
      </c>
    </row>
    <row r="4" spans="1:2">
      <c r="A4" t="s">
        <v>71</v>
      </c>
      <c r="B4" t="s">
        <v>82</v>
      </c>
    </row>
    <row r="5" spans="1:2">
      <c r="A5" t="s">
        <v>31</v>
      </c>
      <c r="B5" t="s">
        <v>83</v>
      </c>
    </row>
    <row r="6" spans="1:2">
      <c r="A6" t="s">
        <v>67</v>
      </c>
      <c r="B6" t="s">
        <v>84</v>
      </c>
    </row>
    <row r="7" spans="1:2">
      <c r="A7" t="s">
        <v>23</v>
      </c>
      <c r="B7" t="s">
        <v>85</v>
      </c>
    </row>
    <row r="8" spans="1:2">
      <c r="A8" t="s">
        <v>33</v>
      </c>
      <c r="B8" t="s">
        <v>86</v>
      </c>
    </row>
    <row r="9" spans="1:2">
      <c r="A9" t="s">
        <v>30</v>
      </c>
      <c r="B9" t="s">
        <v>87</v>
      </c>
    </row>
    <row r="10" spans="1:2">
      <c r="A10" t="s">
        <v>25</v>
      </c>
      <c r="B10" t="s">
        <v>88</v>
      </c>
    </row>
    <row r="11" spans="1:2">
      <c r="A11" t="s">
        <v>89</v>
      </c>
      <c r="B11" t="s">
        <v>90</v>
      </c>
    </row>
    <row r="12" spans="1:2">
      <c r="A12" t="s">
        <v>91</v>
      </c>
      <c r="B12" t="s">
        <v>92</v>
      </c>
    </row>
    <row r="13" spans="1:2">
      <c r="A13" t="s">
        <v>93</v>
      </c>
      <c r="B13" t="s">
        <v>94</v>
      </c>
    </row>
    <row r="14" spans="1:2">
      <c r="A14" t="s">
        <v>72</v>
      </c>
      <c r="B14" t="s">
        <v>95</v>
      </c>
    </row>
    <row r="15" spans="1:2">
      <c r="A15" t="s">
        <v>96</v>
      </c>
      <c r="B15" t="s">
        <v>97</v>
      </c>
    </row>
    <row r="16" spans="1:2">
      <c r="A16" t="s">
        <v>98</v>
      </c>
      <c r="B16" t="s">
        <v>99</v>
      </c>
    </row>
    <row r="17" spans="1:2">
      <c r="A17" t="s">
        <v>100</v>
      </c>
      <c r="B17" t="s">
        <v>101</v>
      </c>
    </row>
    <row r="18" spans="1:2">
      <c r="A18" t="s">
        <v>24</v>
      </c>
      <c r="B18" t="s">
        <v>102</v>
      </c>
    </row>
    <row r="19" spans="1:2">
      <c r="A19" t="s">
        <v>28</v>
      </c>
      <c r="B19" t="s">
        <v>103</v>
      </c>
    </row>
    <row r="20" spans="1:2">
      <c r="A20" t="s">
        <v>68</v>
      </c>
      <c r="B20" t="s">
        <v>104</v>
      </c>
    </row>
    <row r="21" spans="1:2">
      <c r="A21" t="s">
        <v>27</v>
      </c>
      <c r="B21" t="s">
        <v>105</v>
      </c>
    </row>
    <row r="22" spans="1:2">
      <c r="A22" t="s">
        <v>106</v>
      </c>
      <c r="B22" t="s">
        <v>107</v>
      </c>
    </row>
    <row r="23" spans="1:2">
      <c r="A23" t="s">
        <v>29</v>
      </c>
      <c r="B23" t="s">
        <v>108</v>
      </c>
    </row>
    <row r="24" spans="1:2">
      <c r="A24" t="s">
        <v>66</v>
      </c>
      <c r="B24" t="s">
        <v>109</v>
      </c>
    </row>
    <row r="25" spans="1:2">
      <c r="A25" t="s">
        <v>110</v>
      </c>
      <c r="B25" t="s">
        <v>111</v>
      </c>
    </row>
    <row r="26" spans="1:2">
      <c r="A26" t="s">
        <v>112</v>
      </c>
      <c r="B26" t="s">
        <v>113</v>
      </c>
    </row>
    <row r="27" spans="1:2">
      <c r="A27" t="s">
        <v>21</v>
      </c>
      <c r="B27" t="s">
        <v>114</v>
      </c>
    </row>
    <row r="28" spans="1:2">
      <c r="A28" t="s">
        <v>69</v>
      </c>
      <c r="B28" t="s">
        <v>115</v>
      </c>
    </row>
    <row r="29" spans="1:2">
      <c r="A29" t="s">
        <v>116</v>
      </c>
      <c r="B29" t="s">
        <v>117</v>
      </c>
    </row>
    <row r="30" spans="1:2">
      <c r="A30" t="s">
        <v>118</v>
      </c>
      <c r="B30" t="s">
        <v>119</v>
      </c>
    </row>
    <row r="31" spans="1:2">
      <c r="A31" t="s">
        <v>70</v>
      </c>
      <c r="B31" t="s">
        <v>120</v>
      </c>
    </row>
    <row r="32" spans="1:2">
      <c r="A32" t="s">
        <v>22</v>
      </c>
      <c r="B32" t="s">
        <v>121</v>
      </c>
    </row>
    <row r="33" spans="1:2">
      <c r="A33" t="s">
        <v>122</v>
      </c>
      <c r="B33" t="s">
        <v>123</v>
      </c>
    </row>
    <row r="34" spans="1:2">
      <c r="A34" t="s">
        <v>124</v>
      </c>
      <c r="B34" t="s">
        <v>125</v>
      </c>
    </row>
    <row r="35" spans="1:2">
      <c r="A35" t="s">
        <v>34</v>
      </c>
      <c r="B35" t="s">
        <v>126</v>
      </c>
    </row>
    <row r="36" spans="1:2">
      <c r="A36" t="s">
        <v>32</v>
      </c>
      <c r="B36" t="s">
        <v>127</v>
      </c>
    </row>
    <row r="37" spans="1:2">
      <c r="A37" t="s">
        <v>128</v>
      </c>
      <c r="B37" t="s">
        <v>129</v>
      </c>
    </row>
    <row r="38" spans="1:2">
      <c r="A38" t="s">
        <v>130</v>
      </c>
      <c r="B38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</vt:lpstr>
      <vt:lpstr>Sales</vt:lpstr>
      <vt:lpstr>Purchases</vt:lpstr>
      <vt:lpstr>Data Analysis GSTR 3B</vt:lpstr>
      <vt:lpstr>Data Analysis GSTR 1</vt:lpstr>
      <vt:lpstr>TCS Received</vt:lpstr>
      <vt:lpstr>Working</vt:lpstr>
      <vt:lpstr>State 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 Kushal Jain</dc:creator>
  <cp:lastModifiedBy>Habib Siddiqui</cp:lastModifiedBy>
  <dcterms:created xsi:type="dcterms:W3CDTF">2020-08-12T08:50:00Z</dcterms:created>
  <dcterms:modified xsi:type="dcterms:W3CDTF">2023-10-02T06:26:57Z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55b24b8-e69b-4583-bfd0-d64b5cee0119_Enabled">
    <vt:lpwstr>true</vt:lpwstr>
  </property>
  <property fmtid="{D5CDD505-2E9C-101B-9397-08002B2CF9AE}" pid="3" name="MSIP_Label_455b24b8-e69b-4583-bfd0-d64b5cee0119_SetDate">
    <vt:lpwstr>2021-01-11T08:39:17Z</vt:lpwstr>
  </property>
  <property fmtid="{D5CDD505-2E9C-101B-9397-08002B2CF9AE}" pid="4" name="MSIP_Label_455b24b8-e69b-4583-bfd0-d64b5cee0119_Method">
    <vt:lpwstr>Privileged</vt:lpwstr>
  </property>
  <property fmtid="{D5CDD505-2E9C-101B-9397-08002B2CF9AE}" pid="5" name="MSIP_Label_455b24b8-e69b-4583-bfd0-d64b5cee0119_Name">
    <vt:lpwstr>Public</vt:lpwstr>
  </property>
  <property fmtid="{D5CDD505-2E9C-101B-9397-08002B2CF9AE}" pid="6" name="MSIP_Label_455b24b8-e69b-4583-bfd0-d64b5cee0119_SiteId">
    <vt:lpwstr>05d75c05-fa1a-42e7-9cf1-eb416c396f2d</vt:lpwstr>
  </property>
  <property fmtid="{D5CDD505-2E9C-101B-9397-08002B2CF9AE}" pid="7" name="MSIP_Label_455b24b8-e69b-4583-bfd0-d64b5cee0119_ActionId">
    <vt:lpwstr>4062ed4b-3d64-4b68-b486-b7f5583bb3f3</vt:lpwstr>
  </property>
  <property fmtid="{D5CDD505-2E9C-101B-9397-08002B2CF9AE}" pid="8" name="MSIP_Label_455b24b8-e69b-4583-bfd0-d64b5cee0119_ContentBits">
    <vt:lpwstr>2</vt:lpwstr>
  </property>
  <property fmtid="{D5CDD505-2E9C-101B-9397-08002B2CF9AE}" pid="9" name="ICV">
    <vt:lpwstr>8A9326FBF8FF41228042A7FED7AED63F</vt:lpwstr>
  </property>
  <property fmtid="{D5CDD505-2E9C-101B-9397-08002B2CF9AE}" pid="10" name="KSOProductBuildVer">
    <vt:lpwstr>1033-11.2.0.11219</vt:lpwstr>
  </property>
</Properties>
</file>